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E53D75A6-1FCB-4F0A-8D97-84E16DA00D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Planilha1!$A$1:$E$255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10" i="2" s="1"/>
  <c r="C11" i="2" s="1"/>
  <c r="C13" i="2" s="1"/>
  <c r="C17" i="2" s="1"/>
</calcChain>
</file>

<file path=xl/sharedStrings.xml><?xml version="1.0" encoding="utf-8"?>
<sst xmlns="http://schemas.openxmlformats.org/spreadsheetml/2006/main" count="553" uniqueCount="109">
  <si>
    <t>SISTEMA AUTOMATIZADO PARA PORTAS DESLIZANTES MARCA MANNERS</t>
  </si>
  <si>
    <t>CHAPA AÇO SAE1006 - 1,5 X 1200</t>
  </si>
  <si>
    <t>MANUAL PORTA SLIP</t>
  </si>
  <si>
    <t>TAMPA LATERAL ESQUERDA PARA PORTA SOCIAL 2M</t>
  </si>
  <si>
    <t>TAMPA LATERAL DIREITA PARA PORTA SOCIAL 2M</t>
  </si>
  <si>
    <t>EMBALAGEM PORTA SLIP 5M</t>
  </si>
  <si>
    <t>CONJ. AUTOMATIZADOR PARA PORTA SOCIAL BRUSHLESS DZ SLIP C/R 6,0M ANODIZADO</t>
  </si>
  <si>
    <t>CAIXA EMBALAGEM VINCADA PARA PORTA SOCIAL DZ SLIP COM ACABAMENTO DAS PONTAS</t>
  </si>
  <si>
    <t>CAIXA EMBALAGEM VINCADA PARA PORTA SOCIAL DZ SLIP SEM ACABAMENTO</t>
  </si>
  <si>
    <t>CONJ. AUTOMATIZADOR PARA PORTA SOCIAL BRUSHLESS DZ SLIP C/R 2,20M BRANCO</t>
  </si>
  <si>
    <t xml:space="preserve">CONJ. AUTOMATIZADOR PARA PORTA SOCIAL BRUSHLESS DZ SLIP C/R 3,30M BRANCO
</t>
  </si>
  <si>
    <t xml:space="preserve">CONJ. AUTOMATIZADOR PARA PORTA SOCIAL BRUSHLESS DZ SLIP C/R 4,40M BRANCO
</t>
  </si>
  <si>
    <t xml:space="preserve">CONJ. AUTOMATIZADOR PARA PORTA SOCIAL BRUSHLESS DZ SLIP C/R 5,0M BRANCO
</t>
  </si>
  <si>
    <t xml:space="preserve">CONJ. AUTOMATIZADOR PARA PORTA SOCIAL BRUSHLESS DZ SLIP C/R 6,0M BRANCO
</t>
  </si>
  <si>
    <t>CONJ. AUTOMATIZADOR PARA PORTA SOCIAL BRUSHLESS DZ SLIP C/R 2,20M PRETO</t>
  </si>
  <si>
    <t xml:space="preserve">CONJ. AUTOMATIZADOR PARA PORTA SOCIAL BRUSHLESS DZ SLIP C/R 3,30M PRETO
</t>
  </si>
  <si>
    <t xml:space="preserve">CONJ. AUTOMATIZADOR PARA PORTA SOCIAL BRUSHLESS DZ SLIP C/R 4,40M PRETO
</t>
  </si>
  <si>
    <t xml:space="preserve">CONJ. AUTOMATIZADOR PARA PORTA SOCIAL BRUSHLESS DZ SLIP C/R 5,0M PRETO
</t>
  </si>
  <si>
    <t xml:space="preserve">CONJ. AUTOMATIZADOR PARA PORTA SOCIAL BRUSHLESS DZ SLIP C/R 6,0M PRETO
</t>
  </si>
  <si>
    <t>CONJ. AUTOMATIZADOR PARA PORTA SOCIAL BRUSHLESS DZ SLIP C/R 2,20M ANODIZADO</t>
  </si>
  <si>
    <t xml:space="preserve">CONJ. AUTOMATIZADOR PARA PORTA SOCIAL BRUSHLESS DZ SLIP C/R 3,30M ANODIZADO
</t>
  </si>
  <si>
    <t xml:space="preserve">CONJ. AUTOMATIZADOR PARA PORTA SOCIAL BRUSHLESS DZ SLIP C/R 4,40M ANODIZADO
</t>
  </si>
  <si>
    <t xml:space="preserve">CONJ. AUTOMATIZADOR PARA PORTA SOCIAL BRUSHLESS DZ SLIP C/R 5,0M ANODIZADO
</t>
  </si>
  <si>
    <t>BORRACHA DE ISOLAMENTO ACÚSTICO DA PORTA SOCIAL</t>
  </si>
  <si>
    <t>PERFIL STLF-1196 6063 T5 NT 6000</t>
  </si>
  <si>
    <t>PEGA VIDRO PORTA SOCIAL - BRANCO NL-0071F P8" 1 FURO</t>
  </si>
  <si>
    <t>ACABAMENTO FRONTAL DA PORTA SOCIAL - BRANCO STLF-1195 P7" 1 FURO</t>
  </si>
  <si>
    <t>PERFIL PRINCIPAL DE SUPORTE DO MOTOR DA PORTA SOCIAL - BRANCO NL-0072F P8" 1 FURO</t>
  </si>
  <si>
    <t>TRILHO REMOVÍVEL DO CARRINHO DA PORTA SOCIAL -  BRUTO STLF-1196 P5" 4 FURO</t>
  </si>
  <si>
    <t>PERFIL PRINCIPAL DE SUPORTE DO MOTOR DA PORTA SOCIAL - PRETO NL-0072F P8" 1 FURO</t>
  </si>
  <si>
    <t>PEGA VIDRO PORTA SOCIAL - PRETO NL-0071F P8" 1 FURO</t>
  </si>
  <si>
    <t>PERFIL PRINCIPAL DE SUPORTE DO MOTOR DA PORTA SOCIAL - ANODIZADO NL-0072F P8" 1 FURO</t>
  </si>
  <si>
    <t>ACABAMENTO FRONTAL DA PORTA SOCIAL - ANODIZADO STLF-1195 P7" 1 FURO</t>
  </si>
  <si>
    <t>PEGA VIDRO PORTA SOCIAL - ANODIZADO NL-0071F P8" 1 FURO</t>
  </si>
  <si>
    <t>PEGA VIDRO PARA PORTA SOCIAL NL-0071F P8" 1 FURO</t>
  </si>
  <si>
    <t>PEGA VIDRO PORTA SOCIAL - BRANCO - 2,2M - NL-0071F P8" 1 FURO</t>
  </si>
  <si>
    <t>PEGA VIDRO PORTA SOCIAL - BRANCO - 3,3M - NL-0071F P8" 1 FURO</t>
  </si>
  <si>
    <t>PEGA VIDRO PORTA SOCIAL - BRANCO - 4,4M - NL-0071F P8" 1 FURO</t>
  </si>
  <si>
    <t>PEGA VIDRO PORTA SOCIAL - BRANCO - 6,0M - NL-0071F P8" 1 FURO</t>
  </si>
  <si>
    <t>PEGA VIDRO PORTA SOCIAL - PRETO - 2,2M - NL-0071F P8" 1 FURO</t>
  </si>
  <si>
    <t>PEGA VIDRO PORTA SOCIAL - PRETO - 3,3M - NL-0071F P8" 1 FURO</t>
  </si>
  <si>
    <t>PEGA VIDRO PORTA SOCIAL - PRETO - 4,4M - NL-0071F P8" 1 FURO</t>
  </si>
  <si>
    <t>PEGA VIDRO PORTA SOCIAL - PRETO - 6,0M - NL-0071F P8" 1 FURO</t>
  </si>
  <si>
    <t>PEGA VIDRO PORTA SOCIAL - ANODIZADO - 2,2M - NL-0071F P8" 1 FURO</t>
  </si>
  <si>
    <t>PEGA VIDRO PORTA SOCIAL - ANODIZADO - 3,3M - NL-0071F P8" 1 FURO</t>
  </si>
  <si>
    <t>PEGA VIDRO PORTA SOCIAL - ANODIZADO - 4,4M - NL-0071F P8" 1 FURO</t>
  </si>
  <si>
    <t>PEGA VIDRO PORTA SOCIAL - ANODIZADO - 6,0M - NL-0071F P8" 1 FURO</t>
  </si>
  <si>
    <t>TAMPA LATERAL ESQUERDA PARA PORTA SOCIAL 2M BRANCA</t>
  </si>
  <si>
    <t>TAMPA LATERAL ESQUERDA PARA PORTA SOCIAL 2M PRETA</t>
  </si>
  <si>
    <t>Tempo por peça</t>
  </si>
  <si>
    <t>PERFIL PRINCIPAL DE SUPORTE DO MOTOR DA PORTA SOCIAL - ANODIZADO - 2,2M - NL-0072F P8" 1 Furo</t>
  </si>
  <si>
    <t>PERFIL PRINCIPAL DE SUPORTE DO MOTOR DA PORTA SOCIAL - ANODIZADO NL-0072F P8" 1 Furo</t>
  </si>
  <si>
    <t>PERFIL PRINCIPAL DE SUPORTE DO MOTOR DA PORTA SOCIAL - ANODIZADO - 3,3M - NL-0072F P8" 1 Furo</t>
  </si>
  <si>
    <t>PERFIL PRINCIPAL DE SUPORTE DO MOTOR DA PORTA SOCIAL - ANODIZADO - 4,4M - NL-0072F P8" 1 Furo</t>
  </si>
  <si>
    <t>PERFIL PRINCIPAL DE SUPORTE DO MOTOR DA PORTA SOCIAL - ANODIZADO - 6,0M - NL-0072F P8" 1 Furo</t>
  </si>
  <si>
    <t>PERFIL PRINCIPAL DE SUPORTE DO MOTOR DA PORTA SOCIAL - BRANCO - 2,2M - NL-0072F P8" 1 Furo</t>
  </si>
  <si>
    <t>PERFIL PRINCIPAL DE SUPORTE DO MOTOR DA PORTA SOCIAL - BRANCO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</si>
  <si>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</si>
  <si>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</si>
  <si>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</si>
  <si>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</si>
  <si>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</si>
  <si>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</si>
  <si>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</si>
  <si>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</si>
  <si>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ANODIZADO - 2,2M - STLF-1195 P7" 1 Furo</t>
  </si>
  <si>
    <t>ACABAMENTO FRONTAL DA PORTA SOCIAL - ANODIZADO STLF-1195 P7" 1 Furo</t>
  </si>
  <si>
    <t>ACABAMENTO FRONTAL DA PORTA SOCIAL - ANODIZADO - 3,3M - STLF-1195 P7" 1 Furo</t>
  </si>
  <si>
    <t>ACABAMENTO FRONTAL DA PORTA SOCIAL - ANODIZADO - 4,4M - STLF-1195 P7" 1 Furo</t>
  </si>
  <si>
    <t>ACABAMENTO FRONTAL DA PORTA SOCIAL - ANODIZADO - 6,0M - STLF-1195 P7" 1 Furo</t>
  </si>
  <si>
    <t>ACABAMENTO FRONTAL DA PORTA SOCIAL - PRETO - 2,2M - STLF-1195 P7" 1 Furo</t>
  </si>
  <si>
    <t>ACABAMENTO FRONTAL DA PORTA SOCIAL - PRETO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</si>
  <si>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</si>
  <si>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</si>
  <si>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</si>
  <si>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- 2,2M - STLF-1195 P7" 1 Furo</t>
  </si>
  <si>
    <t>ACABAMENTO FRONTAL DA PORTA SOCIAL - BRANCO STLF-1195 P7" 1 Furo</t>
  </si>
  <si>
    <t>ACABAMENTO FRONTAL DA PORTA SOCIAL - BRANCO - 3,3M - STLF-1195 P7" 1 Furo</t>
  </si>
  <si>
    <t>ACABAMENTO FRONTAL DA PORTA SOCIAL - BRANCO - 4,4M - STLF-1195 P7" 1 Furo</t>
  </si>
  <si>
    <t>ACABAMENTO FRONTAL DA PORTA SOCIAL - BRANCO - 6,0M - STLF-1195 P7" 1 Furo</t>
  </si>
  <si>
    <t>CONJ. AUTOMATIZADOR PARA PORTA SOCIAL BRUSHLESS DZ SLIP C/R 2,20M BRANCO EX</t>
  </si>
  <si>
    <t>CONJ. AUTOMATIZADOR PARA PORTA SOCIAL BRUSHLESS DZ SLIP C/R 2,20M PRETO EX</t>
  </si>
  <si>
    <t>CONJ. AUTOMATIZADOR PARA PORTA SOCIAL BRUSHLESS DZ SLIP C/R 2,20M ANODIZADO EX</t>
  </si>
  <si>
    <t>TRILHO REMOVÍVEL PORTA SOCIAL -  BRUTO STLF-1196 6063 T5 NT 6000 P5" 4 Furo</t>
  </si>
  <si>
    <t>PEGA VIDRO PORTA SOCIAL - BRANCO - 0,55M - NL-0071F P8" 1 FURO</t>
  </si>
  <si>
    <t>PEGA VIDRO PORTA SOCIAL - BRANCO - 0,82M - NL-0071F P8" 1 FURO</t>
  </si>
  <si>
    <t>PEGA VIDRO PORTA SOCIAL - BRANCO - 1,10M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</si>
  <si>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</si>
  <si>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</si>
  <si>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</si>
  <si>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PRETO - 1,10M - NL-0071F P8" 1 FURO</t>
  </si>
  <si>
    <t>PEGA VIDRO PORTA SOCIAL - PRETO - 1,50M - NL-0071F P8" 1 FURO</t>
  </si>
  <si>
    <t>PEGA VIDRO PORTA SOCIAL - ANODIZADO - 0,55M - NL-0071F P8" 1 FURO</t>
  </si>
  <si>
    <t>PEGA VIDRO PORTA SOCIAL - ANODIZADO - 0,82M - NL-0071F P8" 1 FURO</t>
  </si>
  <si>
    <t>PEGA VIDRO PORTA SOCIAL - ANODIZADO - 1,10M - NL-0071F P8" 1 FURO</t>
  </si>
  <si>
    <t>PEGA VIDRO PORTA SOCIAL - ANODIZADO - 1,50M - NL-0071F P8" 1 FURO</t>
  </si>
  <si>
    <t>CANTONEIRA DO BATENTE PORTA SOCIAL - ZINCADO</t>
  </si>
  <si>
    <t>CHAPA DE FIXAÇÃO PEGA VIDRO PORTA SOCIAL - ZINCADO</t>
  </si>
  <si>
    <t>CANTONEIRA DO BATENTE PORTA SOCIAL - BRUTO</t>
  </si>
  <si>
    <t>CHAPA AÇO SAE1006 - 2,25 X 1200 X 2000MM (DECAP/ÓLEO)</t>
  </si>
  <si>
    <t>CHAPA DE FIXAÇÃO PEGA VIDRO PORTA SOCIAL - BRUTO</t>
  </si>
  <si>
    <t>CHAPA AÇO P012K SAE1012/A36 - 4,75 X 1200</t>
  </si>
  <si>
    <t>TAMPA BILATERAL PARA PORTA SOCIAL BRANCA</t>
  </si>
  <si>
    <t>TAMPA BILATERAL PARA PORTA SOCIAL PRETA</t>
  </si>
  <si>
    <t>CONJUNTO DE TAMPAS LATERAL DA PORTA SOCIAL BRANCA</t>
  </si>
  <si>
    <t>CONJUNTO DE TAMPAS LATERAL DA PORTA SOCIAL PRETA</t>
  </si>
  <si>
    <t>TINTA BRANCO POLIESTER TEXTURIZADO B-3910</t>
  </si>
  <si>
    <t>TINTA PRETO POLIESTER TEXTURIZADO P-3901</t>
  </si>
  <si>
    <t>TAMPA BILATERAL PARA PORTA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</si>
</sst>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164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164" fontId="2" fillId="0" borderId="8" xfId="0" applyNumberFormat="1" applyFont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165" fontId="2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/>
    </xf>
    <xf numFmtId="165" fontId="2" fillId="0" borderId="5" xfId="0" applyNumberFormat="1" applyFont="1" applyBorder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tabSelected="1" zoomScale="90" zoomScaleNormal="90" workbookViewId="0">
      <selection activeCell="E9" sqref="E9"/>
    </sheetView>
  </sheetViews>
  <sheetFormatPr defaultRowHeight="15" x14ac:dyDescent="0.25"/>
  <cols>
    <col min="1" max="1" width="14.85546875" style="6" customWidth="1"/>
    <col min="2" max="2" width="94.140625" bestFit="1" customWidth="1"/>
    <col min="3" max="3" width="11.5703125" style="6" bestFit="1" customWidth="1"/>
    <col min="4" max="4" width="94.140625" bestFit="1" customWidth="1"/>
    <col min="5" max="5" width="22.28515625" style="21" bestFit="1" customWidth="1"/>
  </cols>
  <sheetData>
    <row r="1" spans="1:5" x14ac:dyDescent="0.25">
      <c r="A1" s="4">
        <v>813534</v>
      </c>
      <c r="B1" s="5" t="s">
        <v>108</v>
      </c>
      <c r="C1" s="3">
        <v>201016</v>
      </c>
      <c r="D1" t="s">
        <v>1</v>
      </c>
      <c r="E1" s="20">
        <v>0.2094</v>
      </c>
    </row>
    <row r="2" spans="1:5" x14ac:dyDescent="0.25">
      <c r="A2" s="6">
        <v>401263</v>
      </c>
      <c r="B2" t="s">
        <v>25</v>
      </c>
      <c r="C2" s="6">
        <v>401261</v>
      </c>
      <c r="D2" t="s">
        <v>34</v>
      </c>
      <c r="E2" s="20">
        <v>1</v>
      </c>
    </row>
    <row r="3" spans="1:5" x14ac:dyDescent="0.25">
      <c r="A3" s="6">
        <v>401275</v>
      </c>
      <c r="B3" t="s">
        <v>30</v>
      </c>
      <c r="C3" s="6">
        <v>401261</v>
      </c>
      <c r="D3" t="s">
        <v>34</v>
      </c>
      <c r="E3" s="20">
        <v>1</v>
      </c>
    </row>
    <row r="4" spans="1:5" x14ac:dyDescent="0.25">
      <c r="A4" s="6">
        <v>401278</v>
      </c>
      <c r="B4" t="s">
        <v>33</v>
      </c>
      <c r="C4" s="6">
        <v>401261</v>
      </c>
      <c r="D4" t="s">
        <v>34</v>
      </c>
      <c r="E4" s="20">
        <v>1</v>
      </c>
    </row>
    <row r="5" spans="1:5" x14ac:dyDescent="0.25">
      <c r="A5" s="6">
        <v>401289</v>
      </c>
      <c r="B5" t="s">
        <v>35</v>
      </c>
      <c r="C5" s="6">
        <v>401263</v>
      </c>
      <c r="D5" t="s">
        <v>25</v>
      </c>
      <c r="E5" s="20">
        <v>1.2769999999999999</v>
      </c>
    </row>
    <row r="6" spans="1:5" x14ac:dyDescent="0.25">
      <c r="A6" s="6">
        <v>401290</v>
      </c>
      <c r="B6" t="s">
        <v>36</v>
      </c>
      <c r="C6" s="6">
        <v>401263</v>
      </c>
      <c r="D6" t="s">
        <v>25</v>
      </c>
      <c r="E6" s="20">
        <v>1.9154999999999975</v>
      </c>
    </row>
    <row r="7" spans="1:5" x14ac:dyDescent="0.25">
      <c r="A7" s="6">
        <v>401291</v>
      </c>
      <c r="B7" t="s">
        <v>37</v>
      </c>
      <c r="C7" s="6">
        <v>401263</v>
      </c>
      <c r="D7" t="s">
        <v>25</v>
      </c>
      <c r="E7" s="20">
        <v>2.4379090909090899</v>
      </c>
    </row>
    <row r="8" spans="1:5" x14ac:dyDescent="0.25">
      <c r="A8" s="6">
        <v>401292</v>
      </c>
      <c r="B8" t="s">
        <v>38</v>
      </c>
      <c r="C8" s="6">
        <v>401263</v>
      </c>
      <c r="D8" t="s">
        <v>25</v>
      </c>
      <c r="E8" s="20">
        <v>3.4827272727272498</v>
      </c>
    </row>
    <row r="9" spans="1:5" x14ac:dyDescent="0.25">
      <c r="A9" s="6">
        <v>401293</v>
      </c>
      <c r="B9" t="s">
        <v>39</v>
      </c>
      <c r="C9" s="6">
        <v>401275</v>
      </c>
      <c r="D9" t="s">
        <v>30</v>
      </c>
      <c r="E9" s="20">
        <v>1.2769999999999999</v>
      </c>
    </row>
    <row r="10" spans="1:5" x14ac:dyDescent="0.25">
      <c r="A10" s="6">
        <v>401294</v>
      </c>
      <c r="B10" t="s">
        <v>40</v>
      </c>
      <c r="C10" s="6">
        <v>401275</v>
      </c>
      <c r="D10" t="s">
        <v>30</v>
      </c>
      <c r="E10" s="20">
        <v>1.9154999999999975</v>
      </c>
    </row>
    <row r="11" spans="1:5" x14ac:dyDescent="0.25">
      <c r="A11" s="6">
        <v>401295</v>
      </c>
      <c r="B11" t="s">
        <v>41</v>
      </c>
      <c r="C11" s="6">
        <v>401275</v>
      </c>
      <c r="D11" t="s">
        <v>30</v>
      </c>
      <c r="E11" s="20">
        <v>2.4379090909090899</v>
      </c>
    </row>
    <row r="12" spans="1:5" x14ac:dyDescent="0.25">
      <c r="A12" s="6">
        <v>401296</v>
      </c>
      <c r="B12" t="s">
        <v>42</v>
      </c>
      <c r="C12" s="6">
        <v>401275</v>
      </c>
      <c r="D12" t="s">
        <v>30</v>
      </c>
      <c r="E12" s="20">
        <v>3.4827272727272498</v>
      </c>
    </row>
    <row r="13" spans="1:5" x14ac:dyDescent="0.25">
      <c r="A13" s="6">
        <v>401297</v>
      </c>
      <c r="B13" t="s">
        <v>43</v>
      </c>
      <c r="C13" s="6">
        <v>401278</v>
      </c>
      <c r="D13" t="s">
        <v>33</v>
      </c>
      <c r="E13" s="20">
        <v>1.2769999999999999</v>
      </c>
    </row>
    <row r="14" spans="1:5" x14ac:dyDescent="0.25">
      <c r="A14" s="6">
        <v>401298</v>
      </c>
      <c r="B14" t="s">
        <v>44</v>
      </c>
      <c r="C14" s="6">
        <v>401278</v>
      </c>
      <c r="D14" t="s">
        <v>33</v>
      </c>
      <c r="E14" s="20">
        <v>1.9154999999999975</v>
      </c>
    </row>
    <row r="15" spans="1:5" x14ac:dyDescent="0.25">
      <c r="A15" s="6">
        <v>401299</v>
      </c>
      <c r="B15" t="s">
        <v>45</v>
      </c>
      <c r="C15" s="6">
        <v>401278</v>
      </c>
      <c r="D15" t="s">
        <v>33</v>
      </c>
      <c r="E15" s="20">
        <v>2.4379090909090899</v>
      </c>
    </row>
    <row r="16" spans="1:5" x14ac:dyDescent="0.25">
      <c r="A16" s="6">
        <v>401300</v>
      </c>
      <c r="B16" t="s">
        <v>46</v>
      </c>
      <c r="C16" s="6">
        <v>401278</v>
      </c>
      <c r="D16" t="s">
        <v>33</v>
      </c>
      <c r="E16" s="20">
        <v>3.4827272727272498</v>
      </c>
    </row>
    <row r="17" spans="1:5" x14ac:dyDescent="0.25">
      <c r="A17" s="6">
        <v>401304</v>
      </c>
      <c r="B17" t="s">
        <v>50</v>
      </c>
      <c r="C17" s="6">
        <v>401276</v>
      </c>
      <c r="D17" t="s">
        <v>51</v>
      </c>
      <c r="E17" s="21">
        <v>4.9950000000000001</v>
      </c>
    </row>
    <row r="18" spans="1:5" x14ac:dyDescent="0.25">
      <c r="A18" s="6">
        <v>401305</v>
      </c>
      <c r="B18" t="s">
        <v>52</v>
      </c>
      <c r="C18" s="6">
        <v>401276</v>
      </c>
      <c r="D18" t="s">
        <v>51</v>
      </c>
      <c r="E18" s="21">
        <v>7.4924999999999988</v>
      </c>
    </row>
    <row r="19" spans="1:5" x14ac:dyDescent="0.25">
      <c r="A19" s="6">
        <v>401306</v>
      </c>
      <c r="B19" t="s">
        <v>53</v>
      </c>
      <c r="C19" s="6">
        <v>401276</v>
      </c>
      <c r="D19" t="s">
        <v>51</v>
      </c>
      <c r="E19" s="21">
        <v>9.99</v>
      </c>
    </row>
    <row r="20" spans="1:5" x14ac:dyDescent="0.25">
      <c r="A20" s="6">
        <v>401307</v>
      </c>
      <c r="B20" t="s">
        <v>54</v>
      </c>
      <c r="C20" s="6">
        <v>401276</v>
      </c>
      <c r="D20" t="s">
        <v>51</v>
      </c>
      <c r="E20" s="21">
        <v>13.622727272727271</v>
      </c>
    </row>
    <row r="21" spans="1:5" x14ac:dyDescent="0.25">
      <c r="A21" s="6">
        <v>401308</v>
      </c>
      <c r="B21" t="s">
        <v>55</v>
      </c>
      <c r="C21" s="6">
        <v>401272</v>
      </c>
      <c r="D21" t="s">
        <v>56</v>
      </c>
      <c r="E21" s="21">
        <v>4.9950000000000001</v>
      </c>
    </row>
    <row r="22" spans="1:5" x14ac:dyDescent="0.25">
      <c r="A22" s="6">
        <v>401309</v>
      </c>
      <c r="B22" t="s">
        <v>57</v>
      </c>
      <c r="C22" s="6">
        <v>401272</v>
      </c>
      <c r="D22" t="s">
        <v>56</v>
      </c>
      <c r="E22" s="21">
        <v>7.4924999999999988</v>
      </c>
    </row>
    <row r="23" spans="1:5" x14ac:dyDescent="0.25">
      <c r="A23" s="6">
        <v>401310</v>
      </c>
      <c r="B23" t="s">
        <v>58</v>
      </c>
      <c r="C23" s="6">
        <v>401272</v>
      </c>
      <c r="D23" t="s">
        <v>56</v>
      </c>
      <c r="E23" s="21">
        <v>9.99</v>
      </c>
    </row>
    <row r="24" spans="1:5" x14ac:dyDescent="0.25">
      <c r="A24" s="6">
        <v>401311</v>
      </c>
      <c r="B24" t="s">
        <v>59</v>
      </c>
      <c r="C24" s="6">
        <v>401272</v>
      </c>
      <c r="D24" t="s">
        <v>56</v>
      </c>
      <c r="E24" s="21">
        <v>13.622727272727271</v>
      </c>
    </row>
    <row r="25" spans="1:5" x14ac:dyDescent="0.25">
      <c r="A25" s="6">
        <v>401312</v>
      </c>
      <c r="B25" t="s">
        <v>60</v>
      </c>
      <c r="C25" s="6">
        <v>401273</v>
      </c>
      <c r="D25" t="s">
        <v>61</v>
      </c>
      <c r="E25" s="21">
        <v>4.9950000000000001</v>
      </c>
    </row>
    <row r="26" spans="1:5" x14ac:dyDescent="0.25">
      <c r="A26" s="6">
        <v>401313</v>
      </c>
      <c r="B26" t="s">
        <v>62</v>
      </c>
      <c r="C26" s="6">
        <v>401273</v>
      </c>
      <c r="D26" t="s">
        <v>61</v>
      </c>
      <c r="E26" s="21">
        <v>7.4924999999999988</v>
      </c>
    </row>
    <row r="27" spans="1:5" x14ac:dyDescent="0.25">
      <c r="A27" s="6">
        <v>401314</v>
      </c>
      <c r="B27" t="s">
        <v>63</v>
      </c>
      <c r="C27" s="6">
        <v>401273</v>
      </c>
      <c r="D27" t="s">
        <v>61</v>
      </c>
      <c r="E27" s="21">
        <v>9.99</v>
      </c>
    </row>
    <row r="28" spans="1:5" x14ac:dyDescent="0.25">
      <c r="A28" s="6">
        <v>401315</v>
      </c>
      <c r="B28" t="s">
        <v>64</v>
      </c>
      <c r="C28" s="6">
        <v>401273</v>
      </c>
      <c r="D28" t="s">
        <v>61</v>
      </c>
      <c r="E28" s="21">
        <v>13.622727272727271</v>
      </c>
    </row>
    <row r="29" spans="1:5" x14ac:dyDescent="0.25">
      <c r="A29" s="6">
        <v>401316</v>
      </c>
      <c r="B29" t="s">
        <v>65</v>
      </c>
      <c r="C29" s="6">
        <v>401277</v>
      </c>
      <c r="D29" t="s">
        <v>66</v>
      </c>
      <c r="E29" s="21">
        <v>1.8794999999999999</v>
      </c>
    </row>
    <row r="30" spans="1:5" x14ac:dyDescent="0.25">
      <c r="A30" s="6">
        <v>401317</v>
      </c>
      <c r="B30" t="s">
        <v>67</v>
      </c>
      <c r="C30" s="6">
        <v>401277</v>
      </c>
      <c r="D30" t="s">
        <v>66</v>
      </c>
      <c r="E30" s="21">
        <v>2.8192499999999994</v>
      </c>
    </row>
    <row r="31" spans="1:5" x14ac:dyDescent="0.25">
      <c r="A31" s="6">
        <v>401318</v>
      </c>
      <c r="B31" t="s">
        <v>68</v>
      </c>
      <c r="C31" s="6">
        <v>401277</v>
      </c>
      <c r="D31" t="s">
        <v>66</v>
      </c>
      <c r="E31" s="21">
        <v>3.7589999999999999</v>
      </c>
    </row>
    <row r="32" spans="1:5" x14ac:dyDescent="0.25">
      <c r="A32" s="6">
        <v>401319</v>
      </c>
      <c r="B32" t="s">
        <v>69</v>
      </c>
      <c r="C32" s="6">
        <v>401277</v>
      </c>
      <c r="D32" t="s">
        <v>66</v>
      </c>
      <c r="E32" s="21">
        <v>5.1259090909090901</v>
      </c>
    </row>
    <row r="33" spans="1:5" x14ac:dyDescent="0.25">
      <c r="A33" s="6">
        <v>401320</v>
      </c>
      <c r="B33" t="s">
        <v>70</v>
      </c>
      <c r="C33" s="6">
        <v>401274</v>
      </c>
      <c r="D33" t="s">
        <v>71</v>
      </c>
      <c r="E33" s="21">
        <v>1.8794999999999999</v>
      </c>
    </row>
    <row r="34" spans="1:5" x14ac:dyDescent="0.25">
      <c r="A34" s="6">
        <v>401321</v>
      </c>
      <c r="B34" t="s">
        <v>72</v>
      </c>
      <c r="C34" s="6">
        <v>401274</v>
      </c>
      <c r="D34" t="s">
        <v>71</v>
      </c>
      <c r="E34" s="21">
        <v>2.8192499999999994</v>
      </c>
    </row>
    <row r="35" spans="1:5" x14ac:dyDescent="0.25">
      <c r="A35" s="6">
        <v>401322</v>
      </c>
      <c r="B35" t="s">
        <v>73</v>
      </c>
      <c r="C35" s="6">
        <v>401274</v>
      </c>
      <c r="D35" t="s">
        <v>71</v>
      </c>
      <c r="E35" s="21">
        <v>3.7589999999999999</v>
      </c>
    </row>
    <row r="36" spans="1:5" x14ac:dyDescent="0.25">
      <c r="A36" s="6">
        <v>401323</v>
      </c>
      <c r="B36" t="s">
        <v>74</v>
      </c>
      <c r="C36" s="6">
        <v>401274</v>
      </c>
      <c r="D36" t="s">
        <v>71</v>
      </c>
      <c r="E36" s="21">
        <v>5.1259090909090901</v>
      </c>
    </row>
    <row r="37" spans="1:5" x14ac:dyDescent="0.25">
      <c r="A37" s="6">
        <v>401324</v>
      </c>
      <c r="B37" t="s">
        <v>75</v>
      </c>
      <c r="C37" s="6">
        <v>401271</v>
      </c>
      <c r="D37" t="s">
        <v>76</v>
      </c>
      <c r="E37" s="21">
        <v>1.8794999999999999</v>
      </c>
    </row>
    <row r="38" spans="1:5" x14ac:dyDescent="0.25">
      <c r="A38" s="6">
        <v>401325</v>
      </c>
      <c r="B38" t="s">
        <v>77</v>
      </c>
      <c r="C38" s="6">
        <v>401271</v>
      </c>
      <c r="D38" t="s">
        <v>76</v>
      </c>
      <c r="E38" s="21">
        <v>2.8192499999999994</v>
      </c>
    </row>
    <row r="39" spans="1:5" x14ac:dyDescent="0.25">
      <c r="A39" s="6">
        <v>401326</v>
      </c>
      <c r="B39" t="s">
        <v>78</v>
      </c>
      <c r="C39" s="6">
        <v>401271</v>
      </c>
      <c r="D39" t="s">
        <v>76</v>
      </c>
      <c r="E39" s="21">
        <v>3.7589999999999999</v>
      </c>
    </row>
    <row r="40" spans="1:5" x14ac:dyDescent="0.25">
      <c r="A40" s="6">
        <v>401327</v>
      </c>
      <c r="B40" t="s">
        <v>79</v>
      </c>
      <c r="C40" s="6">
        <v>401271</v>
      </c>
      <c r="D40" t="s">
        <v>76</v>
      </c>
      <c r="E40" s="21">
        <v>5.1259090909090901</v>
      </c>
    </row>
    <row r="41" spans="1:5" x14ac:dyDescent="0.25">
      <c r="A41" s="6">
        <v>707041</v>
      </c>
      <c r="B41" t="s">
        <v>98</v>
      </c>
      <c r="C41" s="6">
        <v>201021</v>
      </c>
      <c r="D41" t="s">
        <v>99</v>
      </c>
      <c r="E41" s="20">
        <v>2.7E-2</v>
      </c>
    </row>
    <row r="42" spans="1:5" x14ac:dyDescent="0.25">
      <c r="A42" s="6">
        <v>707042</v>
      </c>
      <c r="B42" t="s">
        <v>100</v>
      </c>
      <c r="C42" s="6">
        <v>201121</v>
      </c>
      <c r="D42" t="s">
        <v>101</v>
      </c>
      <c r="E42" s="20">
        <v>6.6000000000000003E-2</v>
      </c>
    </row>
    <row r="43" spans="1:5" x14ac:dyDescent="0.25">
      <c r="A43" s="4">
        <v>807219</v>
      </c>
      <c r="B43" s="5" t="s">
        <v>47</v>
      </c>
      <c r="C43" s="3">
        <v>813534</v>
      </c>
      <c r="D43" t="s">
        <v>3</v>
      </c>
      <c r="E43" s="20">
        <v>1</v>
      </c>
    </row>
    <row r="44" spans="1:5" x14ac:dyDescent="0.25">
      <c r="A44" s="4">
        <v>807220</v>
      </c>
      <c r="B44" s="5" t="s">
        <v>102</v>
      </c>
      <c r="C44" s="3">
        <v>813534</v>
      </c>
      <c r="D44" s="25" t="s">
        <v>108</v>
      </c>
      <c r="E44" s="20">
        <v>1</v>
      </c>
    </row>
    <row r="45" spans="1:5" x14ac:dyDescent="0.25">
      <c r="A45" s="4">
        <v>807221</v>
      </c>
      <c r="B45" s="5" t="s">
        <v>48</v>
      </c>
      <c r="C45" s="3">
        <v>813534</v>
      </c>
      <c r="D45" t="s">
        <v>3</v>
      </c>
      <c r="E45" s="20">
        <v>1</v>
      </c>
    </row>
    <row r="46" spans="1:5" x14ac:dyDescent="0.25">
      <c r="A46" s="4">
        <v>807222</v>
      </c>
      <c r="B46" s="5" t="s">
        <v>103</v>
      </c>
      <c r="C46" s="3">
        <v>813534</v>
      </c>
      <c r="D46" s="25" t="s">
        <v>108</v>
      </c>
      <c r="E46" s="20">
        <v>1</v>
      </c>
    </row>
    <row r="47" spans="1:5" x14ac:dyDescent="0.25">
      <c r="A47" s="6">
        <v>807223</v>
      </c>
      <c r="B47" s="5" t="s">
        <v>96</v>
      </c>
      <c r="C47" s="6">
        <v>707041</v>
      </c>
      <c r="D47" t="s">
        <v>98</v>
      </c>
      <c r="E47" s="20">
        <v>1</v>
      </c>
    </row>
    <row r="48" spans="1:5" x14ac:dyDescent="0.25">
      <c r="A48" s="6">
        <v>807224</v>
      </c>
      <c r="B48" s="5" t="s">
        <v>97</v>
      </c>
      <c r="C48" s="6">
        <v>707042</v>
      </c>
      <c r="D48" t="s">
        <v>100</v>
      </c>
      <c r="E48" s="20">
        <v>1</v>
      </c>
    </row>
    <row r="49" spans="1:5" x14ac:dyDescent="0.25">
      <c r="A49" s="1">
        <v>2005701</v>
      </c>
      <c r="B49" s="2" t="s">
        <v>9</v>
      </c>
      <c r="C49" s="3">
        <v>201147</v>
      </c>
      <c r="D49" t="s">
        <v>83</v>
      </c>
      <c r="E49" s="20">
        <v>0.29099999999999998</v>
      </c>
    </row>
    <row r="50" spans="1:5" x14ac:dyDescent="0.25">
      <c r="A50" s="1">
        <v>2005701</v>
      </c>
      <c r="B50" s="2" t="s">
        <v>9</v>
      </c>
      <c r="C50" s="3">
        <v>301053</v>
      </c>
      <c r="D50" t="s">
        <v>23</v>
      </c>
      <c r="E50" s="20">
        <v>2.2000000000000002</v>
      </c>
    </row>
    <row r="51" spans="1:5" x14ac:dyDescent="0.25">
      <c r="A51" s="1">
        <v>2005701</v>
      </c>
      <c r="B51" s="2" t="s">
        <v>9</v>
      </c>
      <c r="C51" s="6">
        <v>401324</v>
      </c>
      <c r="D51" t="s">
        <v>75</v>
      </c>
      <c r="E51" s="20">
        <v>1</v>
      </c>
    </row>
    <row r="52" spans="1:5" x14ac:dyDescent="0.25">
      <c r="A52" s="1">
        <v>2005701</v>
      </c>
      <c r="B52" s="2" t="s">
        <v>9</v>
      </c>
      <c r="C52" s="6">
        <v>401308</v>
      </c>
      <c r="D52" t="s">
        <v>55</v>
      </c>
      <c r="E52" s="20">
        <v>1</v>
      </c>
    </row>
    <row r="53" spans="1:5" x14ac:dyDescent="0.25">
      <c r="A53" s="1">
        <v>2005701</v>
      </c>
      <c r="B53" s="2" t="s">
        <v>9</v>
      </c>
      <c r="C53" s="3">
        <v>811897</v>
      </c>
      <c r="D53" t="s">
        <v>2</v>
      </c>
      <c r="E53" s="20">
        <v>1</v>
      </c>
    </row>
    <row r="54" spans="1:5" x14ac:dyDescent="0.25">
      <c r="A54" s="1">
        <v>2005701</v>
      </c>
      <c r="B54" s="2" t="s">
        <v>9</v>
      </c>
      <c r="C54" s="3">
        <v>811919</v>
      </c>
      <c r="D54" t="s">
        <v>7</v>
      </c>
      <c r="E54" s="20">
        <v>2</v>
      </c>
    </row>
    <row r="55" spans="1:5" x14ac:dyDescent="0.25">
      <c r="A55" s="1">
        <v>2005701</v>
      </c>
      <c r="B55" s="2" t="s">
        <v>9</v>
      </c>
      <c r="C55" s="3">
        <v>811920</v>
      </c>
      <c r="D55" t="s">
        <v>8</v>
      </c>
      <c r="E55" s="20">
        <v>1</v>
      </c>
    </row>
    <row r="56" spans="1:5" x14ac:dyDescent="0.25">
      <c r="A56" s="1">
        <v>2005701</v>
      </c>
      <c r="B56" s="2" t="s">
        <v>9</v>
      </c>
      <c r="C56" s="23">
        <v>807220</v>
      </c>
      <c r="D56" s="24" t="s">
        <v>102</v>
      </c>
      <c r="E56" s="20">
        <v>2</v>
      </c>
    </row>
    <row r="57" spans="1:5" x14ac:dyDescent="0.25">
      <c r="A57" s="1">
        <v>2005701</v>
      </c>
      <c r="B57" s="2" t="s">
        <v>9</v>
      </c>
      <c r="C57" s="3">
        <v>998926</v>
      </c>
      <c r="D57" t="s">
        <v>0</v>
      </c>
      <c r="E57" s="20">
        <v>1</v>
      </c>
    </row>
    <row r="58" spans="1:5" x14ac:dyDescent="0.25">
      <c r="A58" s="6">
        <v>2005701</v>
      </c>
      <c r="B58" t="s">
        <v>9</v>
      </c>
      <c r="C58" s="6">
        <v>401289</v>
      </c>
      <c r="D58" t="s">
        <v>84</v>
      </c>
      <c r="E58" s="20">
        <v>2</v>
      </c>
    </row>
    <row r="59" spans="1:5" x14ac:dyDescent="0.25">
      <c r="A59" s="6">
        <v>2005701</v>
      </c>
      <c r="B59" t="s">
        <v>9</v>
      </c>
      <c r="C59" s="6">
        <v>807223</v>
      </c>
      <c r="D59" t="s">
        <v>96</v>
      </c>
      <c r="E59" s="20">
        <v>2</v>
      </c>
    </row>
    <row r="60" spans="1:5" x14ac:dyDescent="0.25">
      <c r="A60" s="6">
        <v>2005701</v>
      </c>
      <c r="B60" t="s">
        <v>9</v>
      </c>
      <c r="C60" s="6">
        <v>807224</v>
      </c>
      <c r="D60" t="s">
        <v>97</v>
      </c>
      <c r="E60" s="20">
        <v>4</v>
      </c>
    </row>
    <row r="61" spans="1:5" x14ac:dyDescent="0.25">
      <c r="A61" s="1">
        <v>2005702</v>
      </c>
      <c r="B61" s="2" t="s">
        <v>10</v>
      </c>
      <c r="C61" s="3">
        <v>201147</v>
      </c>
      <c r="D61" t="s">
        <v>83</v>
      </c>
      <c r="E61" s="20">
        <v>0.437</v>
      </c>
    </row>
    <row r="62" spans="1:5" x14ac:dyDescent="0.25">
      <c r="A62" s="1">
        <v>2005702</v>
      </c>
      <c r="B62" s="2" t="s">
        <v>10</v>
      </c>
      <c r="C62" s="3">
        <v>301053</v>
      </c>
      <c r="D62" t="s">
        <v>23</v>
      </c>
      <c r="E62" s="20">
        <v>3.3000000000000003</v>
      </c>
    </row>
    <row r="63" spans="1:5" x14ac:dyDescent="0.25">
      <c r="A63" s="1">
        <v>2005702</v>
      </c>
      <c r="B63" s="2" t="s">
        <v>10</v>
      </c>
      <c r="C63" s="6">
        <v>401325</v>
      </c>
      <c r="D63" t="s">
        <v>77</v>
      </c>
      <c r="E63" s="20">
        <v>1</v>
      </c>
    </row>
    <row r="64" spans="1:5" x14ac:dyDescent="0.25">
      <c r="A64" s="1">
        <v>2005702</v>
      </c>
      <c r="B64" s="2" t="s">
        <v>10</v>
      </c>
      <c r="C64" s="6">
        <v>401309</v>
      </c>
      <c r="D64" t="s">
        <v>57</v>
      </c>
      <c r="E64" s="20">
        <v>1</v>
      </c>
    </row>
    <row r="65" spans="1:5" x14ac:dyDescent="0.25">
      <c r="A65" s="1">
        <v>2005702</v>
      </c>
      <c r="B65" s="2" t="s">
        <v>10</v>
      </c>
      <c r="C65" s="3">
        <v>811897</v>
      </c>
      <c r="D65" t="s">
        <v>2</v>
      </c>
      <c r="E65" s="20">
        <v>1</v>
      </c>
    </row>
    <row r="66" spans="1:5" x14ac:dyDescent="0.25">
      <c r="A66" s="1">
        <v>2005702</v>
      </c>
      <c r="B66" s="2" t="s">
        <v>10</v>
      </c>
      <c r="C66" s="3">
        <v>811919</v>
      </c>
      <c r="D66" t="s">
        <v>7</v>
      </c>
      <c r="E66" s="20">
        <v>2</v>
      </c>
    </row>
    <row r="67" spans="1:5" x14ac:dyDescent="0.25">
      <c r="A67" s="1">
        <v>2005702</v>
      </c>
      <c r="B67" s="2" t="s">
        <v>10</v>
      </c>
      <c r="C67" s="3">
        <v>811920</v>
      </c>
      <c r="D67" t="s">
        <v>8</v>
      </c>
      <c r="E67" s="20">
        <v>2</v>
      </c>
    </row>
    <row r="68" spans="1:5" x14ac:dyDescent="0.25">
      <c r="A68" s="1">
        <v>2005702</v>
      </c>
      <c r="B68" s="2" t="s">
        <v>10</v>
      </c>
      <c r="C68" s="23">
        <v>807220</v>
      </c>
      <c r="D68" s="24" t="s">
        <v>102</v>
      </c>
      <c r="E68" s="20">
        <v>2</v>
      </c>
    </row>
    <row r="69" spans="1:5" x14ac:dyDescent="0.25">
      <c r="A69" s="1">
        <v>2005702</v>
      </c>
      <c r="B69" s="2" t="s">
        <v>10</v>
      </c>
      <c r="C69" s="3">
        <v>998926</v>
      </c>
      <c r="D69" t="s">
        <v>0</v>
      </c>
      <c r="E69" s="20">
        <v>1</v>
      </c>
    </row>
    <row r="70" spans="1:5" x14ac:dyDescent="0.25">
      <c r="A70" s="6">
        <v>2005702</v>
      </c>
      <c r="B70" t="s">
        <v>10</v>
      </c>
      <c r="C70" s="6">
        <v>401290</v>
      </c>
      <c r="D70" t="s">
        <v>85</v>
      </c>
      <c r="E70" s="20">
        <v>2</v>
      </c>
    </row>
    <row r="71" spans="1:5" x14ac:dyDescent="0.25">
      <c r="A71" s="6">
        <v>2005702</v>
      </c>
      <c r="B71" t="s">
        <v>10</v>
      </c>
      <c r="C71" s="6">
        <v>807223</v>
      </c>
      <c r="D71" t="s">
        <v>96</v>
      </c>
      <c r="E71" s="20">
        <v>2</v>
      </c>
    </row>
    <row r="72" spans="1:5" x14ac:dyDescent="0.25">
      <c r="A72" s="6">
        <v>2005702</v>
      </c>
      <c r="B72" t="s">
        <v>10</v>
      </c>
      <c r="C72" s="6">
        <v>807224</v>
      </c>
      <c r="D72" t="s">
        <v>97</v>
      </c>
      <c r="E72" s="20">
        <v>4</v>
      </c>
    </row>
    <row r="73" spans="1:5" x14ac:dyDescent="0.25">
      <c r="A73" s="1">
        <v>2005703</v>
      </c>
      <c r="B73" s="2" t="s">
        <v>11</v>
      </c>
      <c r="C73" s="3">
        <v>201147</v>
      </c>
      <c r="D73" t="s">
        <v>83</v>
      </c>
      <c r="E73" s="20">
        <v>0.58099999999999996</v>
      </c>
    </row>
    <row r="74" spans="1:5" x14ac:dyDescent="0.25">
      <c r="A74" s="1">
        <v>2005703</v>
      </c>
      <c r="B74" s="2" t="s">
        <v>11</v>
      </c>
      <c r="C74" s="3">
        <v>301053</v>
      </c>
      <c r="D74" t="s">
        <v>23</v>
      </c>
      <c r="E74" s="20">
        <v>4.4000000000000004</v>
      </c>
    </row>
    <row r="75" spans="1:5" x14ac:dyDescent="0.25">
      <c r="A75" s="1">
        <v>2005703</v>
      </c>
      <c r="B75" s="2" t="s">
        <v>11</v>
      </c>
      <c r="C75" s="6">
        <v>401326</v>
      </c>
      <c r="D75" t="s">
        <v>78</v>
      </c>
      <c r="E75" s="20">
        <v>1</v>
      </c>
    </row>
    <row r="76" spans="1:5" x14ac:dyDescent="0.25">
      <c r="A76" s="1">
        <v>2005703</v>
      </c>
      <c r="B76" s="2" t="s">
        <v>11</v>
      </c>
      <c r="C76" s="6">
        <v>401310</v>
      </c>
      <c r="D76" t="s">
        <v>58</v>
      </c>
      <c r="E76" s="20">
        <v>1</v>
      </c>
    </row>
    <row r="77" spans="1:5" x14ac:dyDescent="0.25">
      <c r="A77" s="1">
        <v>2005703</v>
      </c>
      <c r="B77" s="2" t="s">
        <v>11</v>
      </c>
      <c r="C77" s="3">
        <v>811897</v>
      </c>
      <c r="D77" t="s">
        <v>2</v>
      </c>
      <c r="E77" s="20">
        <v>1</v>
      </c>
    </row>
    <row r="78" spans="1:5" x14ac:dyDescent="0.25">
      <c r="A78" s="1">
        <v>2005703</v>
      </c>
      <c r="B78" s="2" t="s">
        <v>11</v>
      </c>
      <c r="C78" s="3">
        <v>811919</v>
      </c>
      <c r="D78" t="s">
        <v>7</v>
      </c>
      <c r="E78" s="20">
        <v>2</v>
      </c>
    </row>
    <row r="79" spans="1:5" x14ac:dyDescent="0.25">
      <c r="A79" s="1">
        <v>2005703</v>
      </c>
      <c r="B79" s="2" t="s">
        <v>11</v>
      </c>
      <c r="C79" s="3">
        <v>811920</v>
      </c>
      <c r="D79" t="s">
        <v>8</v>
      </c>
      <c r="E79" s="20">
        <v>4</v>
      </c>
    </row>
    <row r="80" spans="1:5" x14ac:dyDescent="0.25">
      <c r="A80" s="1">
        <v>2005703</v>
      </c>
      <c r="B80" s="2" t="s">
        <v>11</v>
      </c>
      <c r="C80" s="23">
        <v>807220</v>
      </c>
      <c r="D80" s="24" t="s">
        <v>102</v>
      </c>
      <c r="E80" s="20">
        <v>2</v>
      </c>
    </row>
    <row r="81" spans="1:5" x14ac:dyDescent="0.25">
      <c r="A81" s="1">
        <v>2005703</v>
      </c>
      <c r="B81" s="2" t="s">
        <v>11</v>
      </c>
      <c r="C81" s="3">
        <v>998926</v>
      </c>
      <c r="D81" t="s">
        <v>0</v>
      </c>
      <c r="E81" s="20">
        <v>1</v>
      </c>
    </row>
    <row r="82" spans="1:5" x14ac:dyDescent="0.25">
      <c r="A82" s="6">
        <v>2005703</v>
      </c>
      <c r="B82" t="s">
        <v>11</v>
      </c>
      <c r="C82" s="6">
        <v>401291</v>
      </c>
      <c r="D82" t="s">
        <v>86</v>
      </c>
      <c r="E82" s="20">
        <v>2</v>
      </c>
    </row>
    <row r="83" spans="1:5" x14ac:dyDescent="0.25">
      <c r="A83" s="6">
        <v>2005703</v>
      </c>
      <c r="B83" t="s">
        <v>11</v>
      </c>
      <c r="C83" s="6">
        <v>807223</v>
      </c>
      <c r="D83" t="s">
        <v>96</v>
      </c>
      <c r="E83" s="20">
        <v>2</v>
      </c>
    </row>
    <row r="84" spans="1:5" x14ac:dyDescent="0.25">
      <c r="A84" s="6">
        <v>2005703</v>
      </c>
      <c r="B84" t="s">
        <v>11</v>
      </c>
      <c r="C84" s="6">
        <v>807224</v>
      </c>
      <c r="D84" t="s">
        <v>97</v>
      </c>
      <c r="E84" s="20">
        <v>4</v>
      </c>
    </row>
    <row r="85" spans="1:5" x14ac:dyDescent="0.25">
      <c r="A85" s="1">
        <v>2005704</v>
      </c>
      <c r="B85" s="2" t="s">
        <v>12</v>
      </c>
      <c r="C85" s="3">
        <v>998926</v>
      </c>
      <c r="D85" t="s">
        <v>0</v>
      </c>
      <c r="E85" s="20">
        <v>1</v>
      </c>
    </row>
    <row r="86" spans="1:5" x14ac:dyDescent="0.25">
      <c r="A86" s="1">
        <v>2005704</v>
      </c>
      <c r="B86" s="2" t="s">
        <v>12</v>
      </c>
      <c r="C86" s="3">
        <v>401272</v>
      </c>
      <c r="D86" t="s">
        <v>27</v>
      </c>
      <c r="E86" s="20">
        <v>13.8</v>
      </c>
    </row>
    <row r="87" spans="1:5" x14ac:dyDescent="0.25">
      <c r="A87" s="1">
        <v>2005704</v>
      </c>
      <c r="B87" s="2" t="s">
        <v>12</v>
      </c>
      <c r="C87" s="3">
        <v>401271</v>
      </c>
      <c r="D87" t="s">
        <v>26</v>
      </c>
      <c r="E87" s="20">
        <v>4.78</v>
      </c>
    </row>
    <row r="88" spans="1:5" x14ac:dyDescent="0.25">
      <c r="A88" s="1">
        <v>2005704</v>
      </c>
      <c r="B88" s="2" t="s">
        <v>12</v>
      </c>
      <c r="C88" s="3">
        <v>201147</v>
      </c>
      <c r="D88" t="s">
        <v>83</v>
      </c>
      <c r="E88" s="20">
        <v>0.67500000000000004</v>
      </c>
    </row>
    <row r="89" spans="1:5" x14ac:dyDescent="0.25">
      <c r="A89" s="1">
        <v>2005704</v>
      </c>
      <c r="B89" s="2" t="s">
        <v>12</v>
      </c>
      <c r="C89" s="3">
        <v>301053</v>
      </c>
      <c r="D89" t="s">
        <v>23</v>
      </c>
      <c r="E89" s="20">
        <v>5</v>
      </c>
    </row>
    <row r="90" spans="1:5" x14ac:dyDescent="0.25">
      <c r="A90" s="1">
        <v>2005704</v>
      </c>
      <c r="B90" s="2" t="s">
        <v>12</v>
      </c>
      <c r="C90" s="23">
        <v>807220</v>
      </c>
      <c r="D90" s="24" t="s">
        <v>102</v>
      </c>
      <c r="E90" s="20">
        <v>2</v>
      </c>
    </row>
    <row r="91" spans="1:5" x14ac:dyDescent="0.25">
      <c r="A91" s="1">
        <v>2005704</v>
      </c>
      <c r="B91" s="2" t="s">
        <v>12</v>
      </c>
      <c r="C91" s="3">
        <v>811897</v>
      </c>
      <c r="D91" t="s">
        <v>2</v>
      </c>
      <c r="E91" s="20">
        <v>1</v>
      </c>
    </row>
    <row r="92" spans="1:5" x14ac:dyDescent="0.25">
      <c r="A92" s="1">
        <v>2005704</v>
      </c>
      <c r="B92" s="2" t="s">
        <v>12</v>
      </c>
      <c r="C92" s="3">
        <v>811901</v>
      </c>
      <c r="D92" t="s">
        <v>5</v>
      </c>
      <c r="E92" s="20">
        <v>1</v>
      </c>
    </row>
    <row r="93" spans="1:5" x14ac:dyDescent="0.25">
      <c r="A93" s="6">
        <v>2005704</v>
      </c>
      <c r="B93" t="s">
        <v>12</v>
      </c>
      <c r="C93" s="6">
        <v>401263</v>
      </c>
      <c r="D93" t="s">
        <v>25</v>
      </c>
      <c r="E93" s="20">
        <v>5.8045454545454502</v>
      </c>
    </row>
    <row r="94" spans="1:5" x14ac:dyDescent="0.25">
      <c r="A94" s="1">
        <v>2005705</v>
      </c>
      <c r="B94" s="2" t="s">
        <v>13</v>
      </c>
      <c r="C94" s="3">
        <v>201147</v>
      </c>
      <c r="D94" t="s">
        <v>83</v>
      </c>
      <c r="E94" s="20">
        <v>0.79300000000000004</v>
      </c>
    </row>
    <row r="95" spans="1:5" x14ac:dyDescent="0.25">
      <c r="A95" s="1">
        <v>2005705</v>
      </c>
      <c r="B95" s="2" t="s">
        <v>13</v>
      </c>
      <c r="C95" s="3">
        <v>301053</v>
      </c>
      <c r="D95" t="s">
        <v>23</v>
      </c>
      <c r="E95" s="20">
        <v>6</v>
      </c>
    </row>
    <row r="96" spans="1:5" x14ac:dyDescent="0.25">
      <c r="A96" s="1">
        <v>2005705</v>
      </c>
      <c r="B96" s="2" t="s">
        <v>13</v>
      </c>
      <c r="C96" s="6">
        <v>401327</v>
      </c>
      <c r="D96" t="s">
        <v>79</v>
      </c>
      <c r="E96" s="20">
        <v>1</v>
      </c>
    </row>
    <row r="97" spans="1:5" x14ac:dyDescent="0.25">
      <c r="A97" s="1">
        <v>2005705</v>
      </c>
      <c r="B97" s="2" t="s">
        <v>13</v>
      </c>
      <c r="C97" s="6">
        <v>401311</v>
      </c>
      <c r="D97" t="s">
        <v>59</v>
      </c>
      <c r="E97" s="20">
        <v>1</v>
      </c>
    </row>
    <row r="98" spans="1:5" x14ac:dyDescent="0.25">
      <c r="A98" s="1">
        <v>2005705</v>
      </c>
      <c r="B98" s="2" t="s">
        <v>13</v>
      </c>
      <c r="C98" s="3">
        <v>811897</v>
      </c>
      <c r="D98" t="s">
        <v>2</v>
      </c>
      <c r="E98" s="20">
        <v>1</v>
      </c>
    </row>
    <row r="99" spans="1:5" x14ac:dyDescent="0.25">
      <c r="A99" s="1">
        <v>2005705</v>
      </c>
      <c r="B99" s="2" t="s">
        <v>13</v>
      </c>
      <c r="C99" s="3">
        <v>811919</v>
      </c>
      <c r="D99" t="s">
        <v>7</v>
      </c>
      <c r="E99" s="20">
        <v>2</v>
      </c>
    </row>
    <row r="100" spans="1:5" x14ac:dyDescent="0.25">
      <c r="A100" s="1">
        <v>2005705</v>
      </c>
      <c r="B100" s="2" t="s">
        <v>13</v>
      </c>
      <c r="C100" s="3">
        <v>811920</v>
      </c>
      <c r="D100" t="s">
        <v>8</v>
      </c>
      <c r="E100" s="20">
        <v>6</v>
      </c>
    </row>
    <row r="101" spans="1:5" x14ac:dyDescent="0.25">
      <c r="A101" s="1">
        <v>2005705</v>
      </c>
      <c r="B101" s="2" t="s">
        <v>13</v>
      </c>
      <c r="C101" s="23">
        <v>807220</v>
      </c>
      <c r="D101" s="24" t="s">
        <v>102</v>
      </c>
      <c r="E101" s="20">
        <v>2</v>
      </c>
    </row>
    <row r="102" spans="1:5" x14ac:dyDescent="0.25">
      <c r="A102" s="1">
        <v>2005705</v>
      </c>
      <c r="B102" s="2" t="s">
        <v>13</v>
      </c>
      <c r="C102" s="3">
        <v>998926</v>
      </c>
      <c r="D102" t="s">
        <v>0</v>
      </c>
      <c r="E102" s="20">
        <v>1</v>
      </c>
    </row>
    <row r="103" spans="1:5" x14ac:dyDescent="0.25">
      <c r="A103" s="6">
        <v>2005705</v>
      </c>
      <c r="B103" t="s">
        <v>13</v>
      </c>
      <c r="C103" s="6">
        <v>401292</v>
      </c>
      <c r="D103" t="s">
        <v>87</v>
      </c>
      <c r="E103" s="20">
        <v>2</v>
      </c>
    </row>
    <row r="104" spans="1:5" x14ac:dyDescent="0.25">
      <c r="A104" s="6">
        <v>2005705</v>
      </c>
      <c r="B104" t="s">
        <v>13</v>
      </c>
      <c r="C104" s="6">
        <v>807223</v>
      </c>
      <c r="D104" t="s">
        <v>96</v>
      </c>
      <c r="E104" s="20">
        <v>2</v>
      </c>
    </row>
    <row r="105" spans="1:5" x14ac:dyDescent="0.25">
      <c r="A105" s="6">
        <v>2005705</v>
      </c>
      <c r="B105" t="s">
        <v>13</v>
      </c>
      <c r="C105" s="6">
        <v>807224</v>
      </c>
      <c r="D105" t="s">
        <v>97</v>
      </c>
      <c r="E105" s="20">
        <v>4</v>
      </c>
    </row>
    <row r="106" spans="1:5" x14ac:dyDescent="0.25">
      <c r="A106" s="1">
        <v>2005706</v>
      </c>
      <c r="B106" s="2" t="s">
        <v>14</v>
      </c>
      <c r="C106" s="3">
        <v>201147</v>
      </c>
      <c r="D106" t="s">
        <v>83</v>
      </c>
      <c r="E106" s="20">
        <v>0.29099999999999998</v>
      </c>
    </row>
    <row r="107" spans="1:5" x14ac:dyDescent="0.25">
      <c r="A107" s="1">
        <v>2005706</v>
      </c>
      <c r="B107" s="2" t="s">
        <v>14</v>
      </c>
      <c r="C107" s="3">
        <v>301053</v>
      </c>
      <c r="D107" t="s">
        <v>23</v>
      </c>
      <c r="E107" s="20">
        <v>2.2000000000000002</v>
      </c>
    </row>
    <row r="108" spans="1:5" x14ac:dyDescent="0.25">
      <c r="A108" s="1">
        <v>2005706</v>
      </c>
      <c r="B108" s="2" t="s">
        <v>14</v>
      </c>
      <c r="C108" s="6">
        <v>401312</v>
      </c>
      <c r="D108" t="s">
        <v>60</v>
      </c>
      <c r="E108" s="20">
        <v>1</v>
      </c>
    </row>
    <row r="109" spans="1:5" x14ac:dyDescent="0.25">
      <c r="A109" s="1">
        <v>2005706</v>
      </c>
      <c r="B109" s="2" t="s">
        <v>14</v>
      </c>
      <c r="C109" s="6">
        <v>401320</v>
      </c>
      <c r="D109" t="s">
        <v>70</v>
      </c>
      <c r="E109" s="20">
        <v>1</v>
      </c>
    </row>
    <row r="110" spans="1:5" x14ac:dyDescent="0.25">
      <c r="A110" s="1">
        <v>2005706</v>
      </c>
      <c r="B110" s="2" t="s">
        <v>14</v>
      </c>
      <c r="C110" s="3">
        <v>811897</v>
      </c>
      <c r="D110" t="s">
        <v>2</v>
      </c>
      <c r="E110" s="20">
        <v>1</v>
      </c>
    </row>
    <row r="111" spans="1:5" x14ac:dyDescent="0.25">
      <c r="A111" s="1">
        <v>2005706</v>
      </c>
      <c r="B111" s="2" t="s">
        <v>14</v>
      </c>
      <c r="C111" s="3">
        <v>811919</v>
      </c>
      <c r="D111" t="s">
        <v>7</v>
      </c>
      <c r="E111" s="20">
        <v>2</v>
      </c>
    </row>
    <row r="112" spans="1:5" x14ac:dyDescent="0.25">
      <c r="A112" s="1">
        <v>2005706</v>
      </c>
      <c r="B112" s="2" t="s">
        <v>14</v>
      </c>
      <c r="C112" s="3">
        <v>811920</v>
      </c>
      <c r="D112" t="s">
        <v>8</v>
      </c>
      <c r="E112" s="20">
        <v>1</v>
      </c>
    </row>
    <row r="113" spans="1:5" x14ac:dyDescent="0.25">
      <c r="A113" s="1">
        <v>2005706</v>
      </c>
      <c r="B113" s="2" t="s">
        <v>14</v>
      </c>
      <c r="C113" s="23">
        <v>807222</v>
      </c>
      <c r="D113" s="24" t="s">
        <v>103</v>
      </c>
      <c r="E113" s="20">
        <v>2</v>
      </c>
    </row>
    <row r="114" spans="1:5" x14ac:dyDescent="0.25">
      <c r="A114" s="1">
        <v>2005706</v>
      </c>
      <c r="B114" s="2" t="s">
        <v>14</v>
      </c>
      <c r="C114" s="3">
        <v>998926</v>
      </c>
      <c r="D114" t="s">
        <v>0</v>
      </c>
      <c r="E114" s="20">
        <v>1</v>
      </c>
    </row>
    <row r="115" spans="1:5" x14ac:dyDescent="0.25">
      <c r="A115" s="6">
        <v>2005706</v>
      </c>
      <c r="B115" t="s">
        <v>14</v>
      </c>
      <c r="C115" s="6">
        <v>401293</v>
      </c>
      <c r="D115" t="s">
        <v>88</v>
      </c>
      <c r="E115" s="20">
        <v>2</v>
      </c>
    </row>
    <row r="116" spans="1:5" x14ac:dyDescent="0.25">
      <c r="A116" s="6">
        <v>2005706</v>
      </c>
      <c r="B116" t="s">
        <v>14</v>
      </c>
      <c r="C116" s="6">
        <v>807223</v>
      </c>
      <c r="D116" t="s">
        <v>96</v>
      </c>
      <c r="E116" s="20">
        <v>2</v>
      </c>
    </row>
    <row r="117" spans="1:5" x14ac:dyDescent="0.25">
      <c r="A117" s="6">
        <v>2005706</v>
      </c>
      <c r="B117" t="s">
        <v>14</v>
      </c>
      <c r="C117" s="6">
        <v>807224</v>
      </c>
      <c r="D117" t="s">
        <v>97</v>
      </c>
      <c r="E117" s="20">
        <v>4</v>
      </c>
    </row>
    <row r="118" spans="1:5" x14ac:dyDescent="0.25">
      <c r="A118" s="1">
        <v>2005707</v>
      </c>
      <c r="B118" s="2" t="s">
        <v>15</v>
      </c>
      <c r="C118" s="3">
        <v>201147</v>
      </c>
      <c r="D118" t="s">
        <v>83</v>
      </c>
      <c r="E118" s="20">
        <v>0.437</v>
      </c>
    </row>
    <row r="119" spans="1:5" x14ac:dyDescent="0.25">
      <c r="A119" s="1">
        <v>2005707</v>
      </c>
      <c r="B119" s="2" t="s">
        <v>15</v>
      </c>
      <c r="C119" s="3">
        <v>301053</v>
      </c>
      <c r="D119" t="s">
        <v>23</v>
      </c>
      <c r="E119" s="20">
        <v>3.3</v>
      </c>
    </row>
    <row r="120" spans="1:5" x14ac:dyDescent="0.25">
      <c r="A120" s="1">
        <v>2005707</v>
      </c>
      <c r="B120" s="2" t="s">
        <v>15</v>
      </c>
      <c r="C120" s="6">
        <v>401313</v>
      </c>
      <c r="D120" t="s">
        <v>62</v>
      </c>
      <c r="E120" s="20">
        <v>1</v>
      </c>
    </row>
    <row r="121" spans="1:5" x14ac:dyDescent="0.25">
      <c r="A121" s="1">
        <v>2005707</v>
      </c>
      <c r="B121" s="2" t="s">
        <v>15</v>
      </c>
      <c r="C121" s="6">
        <v>401321</v>
      </c>
      <c r="D121" t="s">
        <v>72</v>
      </c>
      <c r="E121" s="20">
        <v>1</v>
      </c>
    </row>
    <row r="122" spans="1:5" x14ac:dyDescent="0.25">
      <c r="A122" s="1">
        <v>2005707</v>
      </c>
      <c r="B122" s="2" t="s">
        <v>15</v>
      </c>
      <c r="C122" s="3">
        <v>811897</v>
      </c>
      <c r="D122" t="s">
        <v>2</v>
      </c>
      <c r="E122" s="20">
        <v>1</v>
      </c>
    </row>
    <row r="123" spans="1:5" x14ac:dyDescent="0.25">
      <c r="A123" s="1">
        <v>2005707</v>
      </c>
      <c r="B123" s="2" t="s">
        <v>15</v>
      </c>
      <c r="C123" s="3">
        <v>811919</v>
      </c>
      <c r="D123" t="s">
        <v>7</v>
      </c>
      <c r="E123" s="20">
        <v>2</v>
      </c>
    </row>
    <row r="124" spans="1:5" x14ac:dyDescent="0.25">
      <c r="A124" s="1">
        <v>2005707</v>
      </c>
      <c r="B124" s="2" t="s">
        <v>15</v>
      </c>
      <c r="C124" s="3">
        <v>811920</v>
      </c>
      <c r="D124" t="s">
        <v>8</v>
      </c>
      <c r="E124" s="20">
        <v>2</v>
      </c>
    </row>
    <row r="125" spans="1:5" x14ac:dyDescent="0.25">
      <c r="A125" s="1">
        <v>2005707</v>
      </c>
      <c r="B125" s="2" t="s">
        <v>15</v>
      </c>
      <c r="C125" s="23">
        <v>807222</v>
      </c>
      <c r="D125" s="24" t="s">
        <v>103</v>
      </c>
      <c r="E125" s="20">
        <v>2</v>
      </c>
    </row>
    <row r="126" spans="1:5" x14ac:dyDescent="0.25">
      <c r="A126" s="1">
        <v>2005707</v>
      </c>
      <c r="B126" s="2" t="s">
        <v>15</v>
      </c>
      <c r="C126" s="3">
        <v>998926</v>
      </c>
      <c r="D126" t="s">
        <v>0</v>
      </c>
      <c r="E126" s="20">
        <v>1</v>
      </c>
    </row>
    <row r="127" spans="1:5" x14ac:dyDescent="0.25">
      <c r="A127" s="6">
        <v>2005707</v>
      </c>
      <c r="B127" t="s">
        <v>15</v>
      </c>
      <c r="C127" s="6">
        <v>401294</v>
      </c>
      <c r="D127" t="s">
        <v>89</v>
      </c>
      <c r="E127" s="20">
        <v>2</v>
      </c>
    </row>
    <row r="128" spans="1:5" x14ac:dyDescent="0.25">
      <c r="A128" s="6">
        <v>2005707</v>
      </c>
      <c r="B128" t="s">
        <v>15</v>
      </c>
      <c r="C128" s="6">
        <v>807223</v>
      </c>
      <c r="D128" t="s">
        <v>96</v>
      </c>
      <c r="E128" s="20">
        <v>2</v>
      </c>
    </row>
    <row r="129" spans="1:5" x14ac:dyDescent="0.25">
      <c r="A129" s="6">
        <v>2005707</v>
      </c>
      <c r="B129" t="s">
        <v>15</v>
      </c>
      <c r="C129" s="6">
        <v>807224</v>
      </c>
      <c r="D129" t="s">
        <v>97</v>
      </c>
      <c r="E129" s="22">
        <v>4</v>
      </c>
    </row>
    <row r="130" spans="1:5" x14ac:dyDescent="0.25">
      <c r="A130" s="1">
        <v>2005708</v>
      </c>
      <c r="B130" s="2" t="s">
        <v>16</v>
      </c>
      <c r="C130" s="3">
        <v>201147</v>
      </c>
      <c r="D130" t="s">
        <v>83</v>
      </c>
      <c r="E130" s="20">
        <v>0.58099999999999996</v>
      </c>
    </row>
    <row r="131" spans="1:5" x14ac:dyDescent="0.25">
      <c r="A131" s="1">
        <v>2005708</v>
      </c>
      <c r="B131" s="2" t="s">
        <v>16</v>
      </c>
      <c r="C131" s="3">
        <v>301053</v>
      </c>
      <c r="D131" t="s">
        <v>23</v>
      </c>
      <c r="E131" s="20">
        <v>4.4000000000000004</v>
      </c>
    </row>
    <row r="132" spans="1:5" x14ac:dyDescent="0.25">
      <c r="A132" s="1">
        <v>2005708</v>
      </c>
      <c r="B132" s="2" t="s">
        <v>16</v>
      </c>
      <c r="C132" s="6">
        <v>401314</v>
      </c>
      <c r="D132" t="s">
        <v>63</v>
      </c>
      <c r="E132" s="20">
        <v>1</v>
      </c>
    </row>
    <row r="133" spans="1:5" x14ac:dyDescent="0.25">
      <c r="A133" s="1">
        <v>2005708</v>
      </c>
      <c r="B133" s="2" t="s">
        <v>16</v>
      </c>
      <c r="C133" s="6">
        <v>401322</v>
      </c>
      <c r="D133" t="s">
        <v>73</v>
      </c>
      <c r="E133" s="20">
        <v>1</v>
      </c>
    </row>
    <row r="134" spans="1:5" x14ac:dyDescent="0.25">
      <c r="A134" s="1">
        <v>2005708</v>
      </c>
      <c r="B134" s="2" t="s">
        <v>16</v>
      </c>
      <c r="C134" s="3">
        <v>811897</v>
      </c>
      <c r="D134" t="s">
        <v>2</v>
      </c>
      <c r="E134" s="20">
        <v>1</v>
      </c>
    </row>
    <row r="135" spans="1:5" x14ac:dyDescent="0.25">
      <c r="A135" s="1">
        <v>2005708</v>
      </c>
      <c r="B135" s="2" t="s">
        <v>16</v>
      </c>
      <c r="C135" s="3">
        <v>811919</v>
      </c>
      <c r="D135" t="s">
        <v>7</v>
      </c>
      <c r="E135" s="20">
        <v>2</v>
      </c>
    </row>
    <row r="136" spans="1:5" x14ac:dyDescent="0.25">
      <c r="A136" s="1">
        <v>2005708</v>
      </c>
      <c r="B136" s="2" t="s">
        <v>16</v>
      </c>
      <c r="C136" s="3">
        <v>811920</v>
      </c>
      <c r="D136" t="s">
        <v>8</v>
      </c>
      <c r="E136" s="20">
        <v>4</v>
      </c>
    </row>
    <row r="137" spans="1:5" x14ac:dyDescent="0.25">
      <c r="A137" s="1">
        <v>2005708</v>
      </c>
      <c r="B137" s="2" t="s">
        <v>16</v>
      </c>
      <c r="C137" s="23">
        <v>807222</v>
      </c>
      <c r="D137" s="24" t="s">
        <v>103</v>
      </c>
      <c r="E137" s="20">
        <v>2</v>
      </c>
    </row>
    <row r="138" spans="1:5" x14ac:dyDescent="0.25">
      <c r="A138" s="1">
        <v>2005708</v>
      </c>
      <c r="B138" s="2" t="s">
        <v>16</v>
      </c>
      <c r="C138" s="3">
        <v>998926</v>
      </c>
      <c r="D138" t="s">
        <v>0</v>
      </c>
      <c r="E138" s="20">
        <v>1</v>
      </c>
    </row>
    <row r="139" spans="1:5" x14ac:dyDescent="0.25">
      <c r="A139" s="6">
        <v>2005708</v>
      </c>
      <c r="B139" t="s">
        <v>16</v>
      </c>
      <c r="C139" s="6">
        <v>401295</v>
      </c>
      <c r="D139" t="s">
        <v>90</v>
      </c>
      <c r="E139" s="20">
        <v>2</v>
      </c>
    </row>
    <row r="140" spans="1:5" x14ac:dyDescent="0.25">
      <c r="A140" s="6">
        <v>2005708</v>
      </c>
      <c r="B140" t="s">
        <v>16</v>
      </c>
      <c r="C140" s="6">
        <v>807223</v>
      </c>
      <c r="D140" t="s">
        <v>96</v>
      </c>
      <c r="E140" s="20">
        <v>2</v>
      </c>
    </row>
    <row r="141" spans="1:5" x14ac:dyDescent="0.25">
      <c r="A141" s="6">
        <v>2005708</v>
      </c>
      <c r="B141" t="s">
        <v>16</v>
      </c>
      <c r="C141" s="6">
        <v>807224</v>
      </c>
      <c r="D141" t="s">
        <v>97</v>
      </c>
      <c r="E141" s="20">
        <v>4</v>
      </c>
    </row>
    <row r="142" spans="1:5" x14ac:dyDescent="0.25">
      <c r="A142" s="1">
        <v>2005709</v>
      </c>
      <c r="B142" s="2" t="s">
        <v>17</v>
      </c>
      <c r="C142" s="3">
        <v>201147</v>
      </c>
      <c r="D142" t="s">
        <v>83</v>
      </c>
      <c r="E142" s="20">
        <v>0.79300000000000004</v>
      </c>
    </row>
    <row r="143" spans="1:5" x14ac:dyDescent="0.25">
      <c r="A143" s="1">
        <v>2005709</v>
      </c>
      <c r="B143" s="2" t="s">
        <v>17</v>
      </c>
      <c r="C143" s="3">
        <v>301053</v>
      </c>
      <c r="D143" t="s">
        <v>23</v>
      </c>
      <c r="E143" s="20">
        <v>6</v>
      </c>
    </row>
    <row r="144" spans="1:5" x14ac:dyDescent="0.25">
      <c r="A144" s="1">
        <v>2005709</v>
      </c>
      <c r="B144" s="2" t="s">
        <v>17</v>
      </c>
      <c r="C144" s="3">
        <v>401273</v>
      </c>
      <c r="D144" t="s">
        <v>29</v>
      </c>
      <c r="E144" s="20">
        <v>16.2</v>
      </c>
    </row>
    <row r="145" spans="1:5" x14ac:dyDescent="0.25">
      <c r="A145" s="1">
        <v>2005709</v>
      </c>
      <c r="B145" s="2" t="s">
        <v>17</v>
      </c>
      <c r="C145" s="3">
        <v>811897</v>
      </c>
      <c r="D145" t="s">
        <v>2</v>
      </c>
      <c r="E145" s="20">
        <v>1</v>
      </c>
    </row>
    <row r="146" spans="1:5" x14ac:dyDescent="0.25">
      <c r="A146" s="1">
        <v>2005709</v>
      </c>
      <c r="B146" s="2" t="s">
        <v>17</v>
      </c>
      <c r="C146" s="3">
        <v>811919</v>
      </c>
      <c r="D146" t="s">
        <v>7</v>
      </c>
      <c r="E146" s="20">
        <v>2</v>
      </c>
    </row>
    <row r="147" spans="1:5" x14ac:dyDescent="0.25">
      <c r="A147" s="1">
        <v>2005709</v>
      </c>
      <c r="B147" s="2" t="s">
        <v>17</v>
      </c>
      <c r="C147" s="3">
        <v>811920</v>
      </c>
      <c r="D147" t="s">
        <v>8</v>
      </c>
      <c r="E147" s="20">
        <v>6</v>
      </c>
    </row>
    <row r="148" spans="1:5" x14ac:dyDescent="0.25">
      <c r="A148" s="1">
        <v>2005709</v>
      </c>
      <c r="B148" s="2" t="s">
        <v>17</v>
      </c>
      <c r="C148" s="23">
        <v>807222</v>
      </c>
      <c r="D148" s="24" t="s">
        <v>103</v>
      </c>
      <c r="E148" s="20">
        <v>2</v>
      </c>
    </row>
    <row r="149" spans="1:5" x14ac:dyDescent="0.25">
      <c r="A149" s="6">
        <v>2005709</v>
      </c>
      <c r="B149" t="s">
        <v>17</v>
      </c>
      <c r="C149" s="6">
        <v>401275</v>
      </c>
      <c r="D149" t="s">
        <v>30</v>
      </c>
      <c r="E149" s="20">
        <v>5.8045454545454502</v>
      </c>
    </row>
    <row r="150" spans="1:5" x14ac:dyDescent="0.25">
      <c r="A150" s="6">
        <v>2005709</v>
      </c>
      <c r="B150" t="s">
        <v>17</v>
      </c>
      <c r="C150" s="6">
        <v>807223</v>
      </c>
      <c r="D150" t="s">
        <v>96</v>
      </c>
      <c r="E150" s="20">
        <v>2</v>
      </c>
    </row>
    <row r="151" spans="1:5" x14ac:dyDescent="0.25">
      <c r="A151" s="6">
        <v>2005709</v>
      </c>
      <c r="B151" t="s">
        <v>17</v>
      </c>
      <c r="C151" s="6">
        <v>807224</v>
      </c>
      <c r="D151" t="s">
        <v>97</v>
      </c>
      <c r="E151" s="20">
        <v>4</v>
      </c>
    </row>
    <row r="152" spans="1:5" x14ac:dyDescent="0.25">
      <c r="A152" s="1">
        <v>2005710</v>
      </c>
      <c r="B152" s="2" t="s">
        <v>18</v>
      </c>
      <c r="C152" s="3">
        <v>998926</v>
      </c>
      <c r="D152" t="s">
        <v>0</v>
      </c>
      <c r="E152" s="20">
        <v>1</v>
      </c>
    </row>
    <row r="153" spans="1:5" x14ac:dyDescent="0.25">
      <c r="A153" s="1">
        <v>2005710</v>
      </c>
      <c r="B153" s="2" t="s">
        <v>18</v>
      </c>
      <c r="C153" s="6">
        <v>401315</v>
      </c>
      <c r="D153" t="s">
        <v>64</v>
      </c>
      <c r="E153" s="20">
        <v>1</v>
      </c>
    </row>
    <row r="154" spans="1:5" x14ac:dyDescent="0.25">
      <c r="A154" s="1">
        <v>2005710</v>
      </c>
      <c r="B154" s="2" t="s">
        <v>18</v>
      </c>
      <c r="C154" s="6">
        <v>401323</v>
      </c>
      <c r="D154" t="s">
        <v>74</v>
      </c>
      <c r="E154" s="20">
        <v>1</v>
      </c>
    </row>
    <row r="155" spans="1:5" x14ac:dyDescent="0.25">
      <c r="A155" s="1">
        <v>2005710</v>
      </c>
      <c r="B155" s="2" t="s">
        <v>18</v>
      </c>
      <c r="C155" s="3">
        <v>201147</v>
      </c>
      <c r="D155" t="s">
        <v>83</v>
      </c>
      <c r="E155" s="20">
        <v>0.81</v>
      </c>
    </row>
    <row r="156" spans="1:5" x14ac:dyDescent="0.25">
      <c r="A156" s="1">
        <v>2005710</v>
      </c>
      <c r="B156" s="2" t="s">
        <v>18</v>
      </c>
      <c r="C156" s="3">
        <v>301053</v>
      </c>
      <c r="D156" t="s">
        <v>23</v>
      </c>
      <c r="E156" s="20">
        <v>6</v>
      </c>
    </row>
    <row r="157" spans="1:5" x14ac:dyDescent="0.25">
      <c r="A157" s="1">
        <v>2005710</v>
      </c>
      <c r="B157" s="2" t="s">
        <v>18</v>
      </c>
      <c r="C157" s="23">
        <v>807222</v>
      </c>
      <c r="D157" s="24" t="s">
        <v>103</v>
      </c>
      <c r="E157" s="20">
        <v>2</v>
      </c>
    </row>
    <row r="158" spans="1:5" x14ac:dyDescent="0.25">
      <c r="A158" s="1">
        <v>2005710</v>
      </c>
      <c r="B158" s="2" t="s">
        <v>18</v>
      </c>
      <c r="C158" s="3">
        <v>811897</v>
      </c>
      <c r="D158" t="s">
        <v>2</v>
      </c>
      <c r="E158" s="20">
        <v>1</v>
      </c>
    </row>
    <row r="159" spans="1:5" x14ac:dyDescent="0.25">
      <c r="A159" s="1">
        <v>2005710</v>
      </c>
      <c r="B159" s="2" t="s">
        <v>18</v>
      </c>
      <c r="C159" s="3">
        <v>811919</v>
      </c>
      <c r="D159" t="s">
        <v>7</v>
      </c>
      <c r="E159" s="20">
        <v>2</v>
      </c>
    </row>
    <row r="160" spans="1:5" x14ac:dyDescent="0.25">
      <c r="A160" s="1">
        <v>2005710</v>
      </c>
      <c r="B160" s="2" t="s">
        <v>18</v>
      </c>
      <c r="C160" s="3">
        <v>811920</v>
      </c>
      <c r="D160" t="s">
        <v>8</v>
      </c>
      <c r="E160" s="20">
        <v>6</v>
      </c>
    </row>
    <row r="161" spans="1:5" x14ac:dyDescent="0.25">
      <c r="A161" s="6">
        <v>2005710</v>
      </c>
      <c r="B161" t="s">
        <v>18</v>
      </c>
      <c r="C161" s="6">
        <v>401296</v>
      </c>
      <c r="D161" t="s">
        <v>91</v>
      </c>
      <c r="E161" s="20">
        <v>2</v>
      </c>
    </row>
    <row r="162" spans="1:5" x14ac:dyDescent="0.25">
      <c r="A162" s="6">
        <v>2005710</v>
      </c>
      <c r="B162" t="s">
        <v>18</v>
      </c>
      <c r="C162" s="6">
        <v>807223</v>
      </c>
      <c r="D162" t="s">
        <v>96</v>
      </c>
      <c r="E162" s="20">
        <v>2</v>
      </c>
    </row>
    <row r="163" spans="1:5" x14ac:dyDescent="0.25">
      <c r="A163" s="6">
        <v>2005710</v>
      </c>
      <c r="B163" t="s">
        <v>18</v>
      </c>
      <c r="C163" s="6">
        <v>807224</v>
      </c>
      <c r="D163" t="s">
        <v>97</v>
      </c>
      <c r="E163" s="20">
        <v>4</v>
      </c>
    </row>
    <row r="164" spans="1:5" x14ac:dyDescent="0.25">
      <c r="A164" s="1">
        <v>2005711</v>
      </c>
      <c r="B164" s="2" t="s">
        <v>19</v>
      </c>
      <c r="C164" s="3">
        <v>201147</v>
      </c>
      <c r="D164" t="s">
        <v>83</v>
      </c>
      <c r="E164" s="20">
        <v>0.29099999999999998</v>
      </c>
    </row>
    <row r="165" spans="1:5" x14ac:dyDescent="0.25">
      <c r="A165" s="1">
        <v>2005711</v>
      </c>
      <c r="B165" s="2" t="s">
        <v>19</v>
      </c>
      <c r="C165" s="3">
        <v>301053</v>
      </c>
      <c r="D165" t="s">
        <v>23</v>
      </c>
      <c r="E165" s="20">
        <v>2.2000000000000002</v>
      </c>
    </row>
    <row r="166" spans="1:5" x14ac:dyDescent="0.25">
      <c r="A166" s="1">
        <v>2005711</v>
      </c>
      <c r="B166" s="2" t="s">
        <v>19</v>
      </c>
      <c r="C166" s="6">
        <v>401304</v>
      </c>
      <c r="D166" t="s">
        <v>50</v>
      </c>
      <c r="E166" s="20">
        <v>1</v>
      </c>
    </row>
    <row r="167" spans="1:5" x14ac:dyDescent="0.25">
      <c r="A167" s="1">
        <v>2005711</v>
      </c>
      <c r="B167" s="2" t="s">
        <v>19</v>
      </c>
      <c r="C167" s="3">
        <v>811897</v>
      </c>
      <c r="D167" t="s">
        <v>2</v>
      </c>
      <c r="E167" s="20">
        <v>1</v>
      </c>
    </row>
    <row r="168" spans="1:5" x14ac:dyDescent="0.25">
      <c r="A168" s="1">
        <v>2005711</v>
      </c>
      <c r="B168" s="2" t="s">
        <v>19</v>
      </c>
      <c r="C168" s="3">
        <v>811919</v>
      </c>
      <c r="D168" t="s">
        <v>7</v>
      </c>
      <c r="E168" s="20">
        <v>2</v>
      </c>
    </row>
    <row r="169" spans="1:5" x14ac:dyDescent="0.25">
      <c r="A169" s="1">
        <v>2005711</v>
      </c>
      <c r="B169" s="2" t="s">
        <v>19</v>
      </c>
      <c r="C169" s="3">
        <v>401320</v>
      </c>
      <c r="D169" t="s">
        <v>70</v>
      </c>
      <c r="E169" s="20">
        <v>1</v>
      </c>
    </row>
    <row r="170" spans="1:5" x14ac:dyDescent="0.25">
      <c r="A170" s="1">
        <v>2005711</v>
      </c>
      <c r="B170" s="2" t="s">
        <v>19</v>
      </c>
      <c r="C170" s="3">
        <v>811920</v>
      </c>
      <c r="D170" t="s">
        <v>8</v>
      </c>
      <c r="E170" s="20">
        <v>1</v>
      </c>
    </row>
    <row r="171" spans="1:5" x14ac:dyDescent="0.25">
      <c r="A171" s="1">
        <v>2005711</v>
      </c>
      <c r="B171" s="2" t="s">
        <v>19</v>
      </c>
      <c r="C171" s="23">
        <v>807222</v>
      </c>
      <c r="D171" s="24" t="s">
        <v>103</v>
      </c>
      <c r="E171" s="20">
        <v>2</v>
      </c>
    </row>
    <row r="172" spans="1:5" x14ac:dyDescent="0.25">
      <c r="A172" s="1">
        <v>2005711</v>
      </c>
      <c r="B172" s="2" t="s">
        <v>19</v>
      </c>
      <c r="C172" s="3">
        <v>998926</v>
      </c>
      <c r="D172" t="s">
        <v>0</v>
      </c>
      <c r="E172" s="20">
        <v>1</v>
      </c>
    </row>
    <row r="173" spans="1:5" x14ac:dyDescent="0.25">
      <c r="A173" s="6">
        <v>2005711</v>
      </c>
      <c r="B173" t="s">
        <v>19</v>
      </c>
      <c r="C173" s="6">
        <v>401297</v>
      </c>
      <c r="D173" t="s">
        <v>92</v>
      </c>
      <c r="E173" s="20">
        <v>2</v>
      </c>
    </row>
    <row r="174" spans="1:5" x14ac:dyDescent="0.25">
      <c r="A174" s="6">
        <v>2005711</v>
      </c>
      <c r="B174" t="s">
        <v>19</v>
      </c>
      <c r="C174" s="6">
        <v>807223</v>
      </c>
      <c r="D174" t="s">
        <v>96</v>
      </c>
      <c r="E174" s="20">
        <v>2</v>
      </c>
    </row>
    <row r="175" spans="1:5" x14ac:dyDescent="0.25">
      <c r="A175" s="6">
        <v>2005711</v>
      </c>
      <c r="B175" t="s">
        <v>19</v>
      </c>
      <c r="C175" s="6">
        <v>807224</v>
      </c>
      <c r="D175" t="s">
        <v>97</v>
      </c>
      <c r="E175" s="20">
        <v>4</v>
      </c>
    </row>
    <row r="176" spans="1:5" x14ac:dyDescent="0.25">
      <c r="A176" s="1">
        <v>2005712</v>
      </c>
      <c r="B176" s="2" t="s">
        <v>20</v>
      </c>
      <c r="C176" s="3">
        <v>201147</v>
      </c>
      <c r="D176" t="s">
        <v>83</v>
      </c>
      <c r="E176" s="20">
        <v>0.437</v>
      </c>
    </row>
    <row r="177" spans="1:5" x14ac:dyDescent="0.25">
      <c r="A177" s="1">
        <v>2005712</v>
      </c>
      <c r="B177" s="2" t="s">
        <v>20</v>
      </c>
      <c r="C177" s="3">
        <v>301053</v>
      </c>
      <c r="D177" t="s">
        <v>23</v>
      </c>
      <c r="E177" s="20">
        <v>3.3</v>
      </c>
    </row>
    <row r="178" spans="1:5" x14ac:dyDescent="0.25">
      <c r="A178" s="1">
        <v>2005712</v>
      </c>
      <c r="B178" s="2" t="s">
        <v>20</v>
      </c>
      <c r="C178" s="6">
        <v>401305</v>
      </c>
      <c r="D178" t="s">
        <v>52</v>
      </c>
      <c r="E178" s="20">
        <v>1</v>
      </c>
    </row>
    <row r="179" spans="1:5" x14ac:dyDescent="0.25">
      <c r="A179" s="1">
        <v>2005712</v>
      </c>
      <c r="B179" s="2" t="s">
        <v>20</v>
      </c>
      <c r="C179" s="6">
        <v>401316</v>
      </c>
      <c r="D179" t="s">
        <v>65</v>
      </c>
      <c r="E179" s="20">
        <v>1</v>
      </c>
    </row>
    <row r="180" spans="1:5" x14ac:dyDescent="0.25">
      <c r="A180" s="1">
        <v>2005712</v>
      </c>
      <c r="B180" s="2" t="s">
        <v>20</v>
      </c>
      <c r="C180" s="3">
        <v>811897</v>
      </c>
      <c r="D180" t="s">
        <v>2</v>
      </c>
      <c r="E180" s="20">
        <v>1</v>
      </c>
    </row>
    <row r="181" spans="1:5" x14ac:dyDescent="0.25">
      <c r="A181" s="1">
        <v>2005712</v>
      </c>
      <c r="B181" s="2" t="s">
        <v>20</v>
      </c>
      <c r="C181" s="3">
        <v>811919</v>
      </c>
      <c r="D181" t="s">
        <v>7</v>
      </c>
      <c r="E181" s="20">
        <v>2</v>
      </c>
    </row>
    <row r="182" spans="1:5" x14ac:dyDescent="0.25">
      <c r="A182" s="1">
        <v>2005712</v>
      </c>
      <c r="B182" s="2" t="s">
        <v>20</v>
      </c>
      <c r="C182" s="3">
        <v>811920</v>
      </c>
      <c r="D182" t="s">
        <v>8</v>
      </c>
      <c r="E182" s="20">
        <v>2</v>
      </c>
    </row>
    <row r="183" spans="1:5" x14ac:dyDescent="0.25">
      <c r="A183" s="1">
        <v>2005712</v>
      </c>
      <c r="B183" s="2" t="s">
        <v>20</v>
      </c>
      <c r="C183" s="23">
        <v>807222</v>
      </c>
      <c r="D183" s="24" t="s">
        <v>103</v>
      </c>
      <c r="E183" s="20">
        <v>2</v>
      </c>
    </row>
    <row r="184" spans="1:5" x14ac:dyDescent="0.25">
      <c r="A184" s="1">
        <v>2005712</v>
      </c>
      <c r="B184" s="2" t="s">
        <v>20</v>
      </c>
      <c r="C184" s="3">
        <v>998926</v>
      </c>
      <c r="D184" t="s">
        <v>0</v>
      </c>
      <c r="E184" s="20">
        <v>1</v>
      </c>
    </row>
    <row r="185" spans="1:5" x14ac:dyDescent="0.25">
      <c r="A185" s="6">
        <v>2005712</v>
      </c>
      <c r="B185" t="s">
        <v>20</v>
      </c>
      <c r="C185" s="6">
        <v>401298</v>
      </c>
      <c r="D185" t="s">
        <v>93</v>
      </c>
      <c r="E185" s="20">
        <v>2</v>
      </c>
    </row>
    <row r="186" spans="1:5" x14ac:dyDescent="0.25">
      <c r="A186" s="6">
        <v>2005712</v>
      </c>
      <c r="B186" t="s">
        <v>20</v>
      </c>
      <c r="C186" s="6">
        <v>807223</v>
      </c>
      <c r="D186" t="s">
        <v>96</v>
      </c>
      <c r="E186" s="20">
        <v>2</v>
      </c>
    </row>
    <row r="187" spans="1:5" x14ac:dyDescent="0.25">
      <c r="A187" s="6">
        <v>2005712</v>
      </c>
      <c r="B187" t="s">
        <v>20</v>
      </c>
      <c r="C187" s="6">
        <v>807224</v>
      </c>
      <c r="D187" t="s">
        <v>97</v>
      </c>
      <c r="E187" s="20">
        <v>4</v>
      </c>
    </row>
    <row r="188" spans="1:5" x14ac:dyDescent="0.25">
      <c r="A188" s="1">
        <v>2005713</v>
      </c>
      <c r="B188" s="2" t="s">
        <v>21</v>
      </c>
      <c r="C188" s="3">
        <v>201147</v>
      </c>
      <c r="D188" t="s">
        <v>83</v>
      </c>
      <c r="E188" s="20">
        <v>0.58099999999999996</v>
      </c>
    </row>
    <row r="189" spans="1:5" x14ac:dyDescent="0.25">
      <c r="A189" s="1">
        <v>2005713</v>
      </c>
      <c r="B189" s="2" t="s">
        <v>21</v>
      </c>
      <c r="C189" s="3">
        <v>301053</v>
      </c>
      <c r="D189" t="s">
        <v>23</v>
      </c>
      <c r="E189" s="20">
        <v>4.4000000000000004</v>
      </c>
    </row>
    <row r="190" spans="1:5" x14ac:dyDescent="0.25">
      <c r="A190" s="1">
        <v>2005713</v>
      </c>
      <c r="B190" s="2" t="s">
        <v>21</v>
      </c>
      <c r="C190" s="6">
        <v>401306</v>
      </c>
      <c r="D190" t="s">
        <v>53</v>
      </c>
      <c r="E190" s="20">
        <v>1</v>
      </c>
    </row>
    <row r="191" spans="1:5" x14ac:dyDescent="0.25">
      <c r="A191" s="1">
        <v>2005713</v>
      </c>
      <c r="B191" s="2" t="s">
        <v>21</v>
      </c>
      <c r="C191" s="6">
        <v>401317</v>
      </c>
      <c r="D191" t="s">
        <v>67</v>
      </c>
      <c r="E191" s="20">
        <v>1</v>
      </c>
    </row>
    <row r="192" spans="1:5" x14ac:dyDescent="0.25">
      <c r="A192" s="1">
        <v>2005713</v>
      </c>
      <c r="B192" s="2" t="s">
        <v>21</v>
      </c>
      <c r="C192" s="3">
        <v>811897</v>
      </c>
      <c r="D192" t="s">
        <v>2</v>
      </c>
      <c r="E192" s="22">
        <v>1</v>
      </c>
    </row>
    <row r="193" spans="1:5" x14ac:dyDescent="0.25">
      <c r="A193" s="1">
        <v>2005713</v>
      </c>
      <c r="B193" s="2" t="s">
        <v>21</v>
      </c>
      <c r="C193" s="3">
        <v>811919</v>
      </c>
      <c r="D193" t="s">
        <v>7</v>
      </c>
      <c r="E193" s="20">
        <v>2</v>
      </c>
    </row>
    <row r="194" spans="1:5" x14ac:dyDescent="0.25">
      <c r="A194" s="1">
        <v>2005713</v>
      </c>
      <c r="B194" s="2" t="s">
        <v>21</v>
      </c>
      <c r="C194" s="3">
        <v>811920</v>
      </c>
      <c r="D194" t="s">
        <v>8</v>
      </c>
      <c r="E194" s="20">
        <v>4</v>
      </c>
    </row>
    <row r="195" spans="1:5" x14ac:dyDescent="0.25">
      <c r="A195" s="1">
        <v>2005713</v>
      </c>
      <c r="B195" s="2" t="s">
        <v>21</v>
      </c>
      <c r="C195" s="23">
        <v>807222</v>
      </c>
      <c r="D195" s="24" t="s">
        <v>103</v>
      </c>
      <c r="E195" s="20">
        <v>2</v>
      </c>
    </row>
    <row r="196" spans="1:5" x14ac:dyDescent="0.25">
      <c r="A196" s="1">
        <v>2005713</v>
      </c>
      <c r="B196" s="2" t="s">
        <v>21</v>
      </c>
      <c r="C196" s="3">
        <v>998926</v>
      </c>
      <c r="D196" t="s">
        <v>0</v>
      </c>
      <c r="E196" s="20">
        <v>1</v>
      </c>
    </row>
    <row r="197" spans="1:5" x14ac:dyDescent="0.25">
      <c r="A197" s="6">
        <v>2005713</v>
      </c>
      <c r="B197" t="s">
        <v>21</v>
      </c>
      <c r="C197" s="6">
        <v>401299</v>
      </c>
      <c r="D197" t="s">
        <v>94</v>
      </c>
      <c r="E197" s="20">
        <v>2</v>
      </c>
    </row>
    <row r="198" spans="1:5" x14ac:dyDescent="0.25">
      <c r="A198" s="6">
        <v>2005713</v>
      </c>
      <c r="B198" t="s">
        <v>21</v>
      </c>
      <c r="C198" s="6">
        <v>807223</v>
      </c>
      <c r="D198" t="s">
        <v>96</v>
      </c>
      <c r="E198" s="20">
        <v>2</v>
      </c>
    </row>
    <row r="199" spans="1:5" x14ac:dyDescent="0.25">
      <c r="A199" s="6">
        <v>2005713</v>
      </c>
      <c r="B199" t="s">
        <v>21</v>
      </c>
      <c r="C199" s="6">
        <v>807224</v>
      </c>
      <c r="D199" t="s">
        <v>97</v>
      </c>
      <c r="E199" s="20">
        <v>4</v>
      </c>
    </row>
    <row r="200" spans="1:5" x14ac:dyDescent="0.25">
      <c r="A200" s="1">
        <v>2005714</v>
      </c>
      <c r="B200" s="2" t="s">
        <v>22</v>
      </c>
      <c r="C200" s="3">
        <v>998926</v>
      </c>
      <c r="D200" t="s">
        <v>0</v>
      </c>
      <c r="E200" s="20">
        <v>1</v>
      </c>
    </row>
    <row r="201" spans="1:5" x14ac:dyDescent="0.25">
      <c r="A201" s="1">
        <v>2005714</v>
      </c>
      <c r="B201" s="2" t="s">
        <v>22</v>
      </c>
      <c r="C201" s="3">
        <v>401276</v>
      </c>
      <c r="D201" t="s">
        <v>31</v>
      </c>
      <c r="E201" s="20">
        <v>13.8</v>
      </c>
    </row>
    <row r="202" spans="1:5" x14ac:dyDescent="0.25">
      <c r="A202" s="1">
        <v>2005714</v>
      </c>
      <c r="B202" s="2" t="s">
        <v>22</v>
      </c>
      <c r="C202" s="3">
        <v>401277</v>
      </c>
      <c r="D202" t="s">
        <v>32</v>
      </c>
      <c r="E202" s="20">
        <v>4.78</v>
      </c>
    </row>
    <row r="203" spans="1:5" x14ac:dyDescent="0.25">
      <c r="A203" s="1">
        <v>2005714</v>
      </c>
      <c r="B203" s="2" t="s">
        <v>22</v>
      </c>
      <c r="C203" s="3">
        <v>201147</v>
      </c>
      <c r="D203" t="s">
        <v>83</v>
      </c>
      <c r="E203" s="20">
        <v>0.67500000000000004</v>
      </c>
    </row>
    <row r="204" spans="1:5" x14ac:dyDescent="0.25">
      <c r="A204" s="1">
        <v>2005714</v>
      </c>
      <c r="B204" s="2" t="s">
        <v>22</v>
      </c>
      <c r="C204" s="3">
        <v>301053</v>
      </c>
      <c r="D204" t="s">
        <v>23</v>
      </c>
      <c r="E204" s="20">
        <v>5</v>
      </c>
    </row>
    <row r="205" spans="1:5" x14ac:dyDescent="0.25">
      <c r="A205" s="1">
        <v>2005714</v>
      </c>
      <c r="B205" s="2" t="s">
        <v>22</v>
      </c>
      <c r="C205" s="23">
        <v>807222</v>
      </c>
      <c r="D205" s="24" t="s">
        <v>103</v>
      </c>
      <c r="E205" s="20">
        <v>2</v>
      </c>
    </row>
    <row r="206" spans="1:5" x14ac:dyDescent="0.25">
      <c r="A206" s="1">
        <v>2005714</v>
      </c>
      <c r="B206" s="2" t="s">
        <v>22</v>
      </c>
      <c r="C206" s="3">
        <v>811897</v>
      </c>
      <c r="D206" t="s">
        <v>2</v>
      </c>
      <c r="E206" s="20">
        <v>1</v>
      </c>
    </row>
    <row r="207" spans="1:5" x14ac:dyDescent="0.25">
      <c r="A207" s="1">
        <v>2005714</v>
      </c>
      <c r="B207" s="2" t="s">
        <v>22</v>
      </c>
      <c r="C207" s="3">
        <v>811901</v>
      </c>
      <c r="D207" t="s">
        <v>5</v>
      </c>
      <c r="E207" s="20">
        <v>1</v>
      </c>
    </row>
    <row r="208" spans="1:5" x14ac:dyDescent="0.25">
      <c r="A208" s="1">
        <v>2005715</v>
      </c>
      <c r="B208" s="2" t="s">
        <v>6</v>
      </c>
      <c r="C208" s="3">
        <v>201147</v>
      </c>
      <c r="D208" t="s">
        <v>83</v>
      </c>
      <c r="E208" s="20">
        <v>0.79300000000000004</v>
      </c>
    </row>
    <row r="209" spans="1:5" x14ac:dyDescent="0.25">
      <c r="A209" s="1">
        <v>2005715</v>
      </c>
      <c r="B209" s="2" t="s">
        <v>6</v>
      </c>
      <c r="C209" s="3">
        <v>301053</v>
      </c>
      <c r="D209" t="s">
        <v>23</v>
      </c>
      <c r="E209" s="20">
        <v>6</v>
      </c>
    </row>
    <row r="210" spans="1:5" x14ac:dyDescent="0.25">
      <c r="A210" s="1">
        <v>2005715</v>
      </c>
      <c r="B210" s="2" t="s">
        <v>6</v>
      </c>
      <c r="C210" s="6">
        <v>401307</v>
      </c>
      <c r="D210" t="s">
        <v>54</v>
      </c>
      <c r="E210" s="20">
        <v>1</v>
      </c>
    </row>
    <row r="211" spans="1:5" x14ac:dyDescent="0.25">
      <c r="A211" s="1">
        <v>2005715</v>
      </c>
      <c r="B211" s="2" t="s">
        <v>6</v>
      </c>
      <c r="C211" s="6">
        <v>401319</v>
      </c>
      <c r="D211" t="s">
        <v>69</v>
      </c>
      <c r="E211" s="20">
        <v>1</v>
      </c>
    </row>
    <row r="212" spans="1:5" x14ac:dyDescent="0.25">
      <c r="A212" s="1">
        <v>2005715</v>
      </c>
      <c r="B212" s="2" t="s">
        <v>6</v>
      </c>
      <c r="C212" s="3">
        <v>811897</v>
      </c>
      <c r="D212" t="s">
        <v>2</v>
      </c>
      <c r="E212" s="20">
        <v>1</v>
      </c>
    </row>
    <row r="213" spans="1:5" x14ac:dyDescent="0.25">
      <c r="A213" s="1">
        <v>2005715</v>
      </c>
      <c r="B213" s="2" t="s">
        <v>6</v>
      </c>
      <c r="C213" s="3">
        <v>811919</v>
      </c>
      <c r="D213" t="s">
        <v>7</v>
      </c>
      <c r="E213" s="20">
        <v>2</v>
      </c>
    </row>
    <row r="214" spans="1:5" x14ac:dyDescent="0.25">
      <c r="A214" s="1">
        <v>2005715</v>
      </c>
      <c r="B214" s="2" t="s">
        <v>6</v>
      </c>
      <c r="C214" s="3">
        <v>811920</v>
      </c>
      <c r="D214" t="s">
        <v>8</v>
      </c>
      <c r="E214" s="20">
        <v>6</v>
      </c>
    </row>
    <row r="215" spans="1:5" x14ac:dyDescent="0.25">
      <c r="A215" s="1">
        <v>2005715</v>
      </c>
      <c r="B215" s="2" t="s">
        <v>6</v>
      </c>
      <c r="C215" s="23">
        <v>807222</v>
      </c>
      <c r="D215" s="24" t="s">
        <v>103</v>
      </c>
      <c r="E215" s="20">
        <v>2</v>
      </c>
    </row>
    <row r="216" spans="1:5" x14ac:dyDescent="0.25">
      <c r="A216" s="1">
        <v>2005715</v>
      </c>
      <c r="B216" s="2" t="s">
        <v>6</v>
      </c>
      <c r="C216" s="3">
        <v>998926</v>
      </c>
      <c r="D216" t="s">
        <v>0</v>
      </c>
      <c r="E216" s="20">
        <v>1</v>
      </c>
    </row>
    <row r="217" spans="1:5" x14ac:dyDescent="0.25">
      <c r="A217" s="6">
        <v>2005715</v>
      </c>
      <c r="B217" t="s">
        <v>6</v>
      </c>
      <c r="C217" s="6">
        <v>401300</v>
      </c>
      <c r="D217" t="s">
        <v>95</v>
      </c>
      <c r="E217" s="20">
        <v>2</v>
      </c>
    </row>
    <row r="218" spans="1:5" x14ac:dyDescent="0.25">
      <c r="A218" s="6">
        <v>2005715</v>
      </c>
      <c r="B218" t="s">
        <v>6</v>
      </c>
      <c r="C218" s="6">
        <v>807223</v>
      </c>
      <c r="D218" t="s">
        <v>96</v>
      </c>
      <c r="E218" s="20">
        <v>2</v>
      </c>
    </row>
    <row r="219" spans="1:5" x14ac:dyDescent="0.25">
      <c r="A219" s="6">
        <v>2005715</v>
      </c>
      <c r="B219" t="s">
        <v>6</v>
      </c>
      <c r="C219" s="6">
        <v>807224</v>
      </c>
      <c r="D219" t="s">
        <v>97</v>
      </c>
      <c r="E219" s="20">
        <v>4</v>
      </c>
    </row>
    <row r="220" spans="1:5" x14ac:dyDescent="0.25">
      <c r="A220" s="1">
        <v>2005716</v>
      </c>
      <c r="B220" s="2" t="s">
        <v>80</v>
      </c>
      <c r="C220" s="3">
        <v>201147</v>
      </c>
      <c r="D220" t="s">
        <v>83</v>
      </c>
      <c r="E220" s="20">
        <v>0.29099999999999998</v>
      </c>
    </row>
    <row r="221" spans="1:5" x14ac:dyDescent="0.25">
      <c r="A221" s="1">
        <v>2005716</v>
      </c>
      <c r="B221" s="2" t="s">
        <v>80</v>
      </c>
      <c r="C221" s="3">
        <v>301053</v>
      </c>
      <c r="D221" t="s">
        <v>23</v>
      </c>
      <c r="E221" s="20">
        <v>2.2000000000000002</v>
      </c>
    </row>
    <row r="222" spans="1:5" x14ac:dyDescent="0.25">
      <c r="A222" s="1">
        <v>2005716</v>
      </c>
      <c r="B222" s="2" t="s">
        <v>80</v>
      </c>
      <c r="C222" s="6">
        <v>401324</v>
      </c>
      <c r="D222" t="s">
        <v>75</v>
      </c>
      <c r="E222" s="20">
        <v>1</v>
      </c>
    </row>
    <row r="223" spans="1:5" x14ac:dyDescent="0.25">
      <c r="A223" s="1">
        <v>2005716</v>
      </c>
      <c r="B223" s="2" t="s">
        <v>80</v>
      </c>
      <c r="C223" s="6">
        <v>401308</v>
      </c>
      <c r="D223" t="s">
        <v>55</v>
      </c>
      <c r="E223" s="20">
        <v>1</v>
      </c>
    </row>
    <row r="224" spans="1:5" x14ac:dyDescent="0.25">
      <c r="A224" s="1">
        <v>2005716</v>
      </c>
      <c r="B224" s="2" t="s">
        <v>80</v>
      </c>
      <c r="C224" s="3">
        <v>811897</v>
      </c>
      <c r="D224" t="s">
        <v>2</v>
      </c>
      <c r="E224" s="20">
        <v>1</v>
      </c>
    </row>
    <row r="225" spans="1:5" x14ac:dyDescent="0.25">
      <c r="A225" s="1">
        <v>2005716</v>
      </c>
      <c r="B225" s="2" t="s">
        <v>80</v>
      </c>
      <c r="C225" s="3">
        <v>811919</v>
      </c>
      <c r="D225" t="s">
        <v>7</v>
      </c>
      <c r="E225" s="20">
        <v>2</v>
      </c>
    </row>
    <row r="226" spans="1:5" x14ac:dyDescent="0.25">
      <c r="A226" s="1">
        <v>2005716</v>
      </c>
      <c r="B226" s="2" t="s">
        <v>80</v>
      </c>
      <c r="C226" s="3">
        <v>811920</v>
      </c>
      <c r="D226" t="s">
        <v>8</v>
      </c>
      <c r="E226" s="20">
        <v>1</v>
      </c>
    </row>
    <row r="227" spans="1:5" x14ac:dyDescent="0.25">
      <c r="A227" s="1">
        <v>2005716</v>
      </c>
      <c r="B227" s="2" t="s">
        <v>80</v>
      </c>
      <c r="C227" s="23">
        <v>807220</v>
      </c>
      <c r="D227" s="24" t="s">
        <v>102</v>
      </c>
      <c r="E227" s="20">
        <v>2</v>
      </c>
    </row>
    <row r="228" spans="1:5" x14ac:dyDescent="0.25">
      <c r="A228" s="1">
        <v>2005716</v>
      </c>
      <c r="B228" s="2" t="s">
        <v>80</v>
      </c>
      <c r="C228" s="3">
        <v>998926</v>
      </c>
      <c r="D228" t="s">
        <v>0</v>
      </c>
      <c r="E228" s="20">
        <v>1</v>
      </c>
    </row>
    <row r="229" spans="1:5" x14ac:dyDescent="0.25">
      <c r="A229" s="6">
        <v>2005716</v>
      </c>
      <c r="B229" t="s">
        <v>80</v>
      </c>
      <c r="C229" s="6">
        <v>401289</v>
      </c>
      <c r="D229" t="s">
        <v>84</v>
      </c>
      <c r="E229" s="20">
        <v>2</v>
      </c>
    </row>
    <row r="230" spans="1:5" x14ac:dyDescent="0.25">
      <c r="A230" s="1">
        <v>2005721</v>
      </c>
      <c r="B230" s="2" t="s">
        <v>81</v>
      </c>
      <c r="C230" s="3">
        <v>201147</v>
      </c>
      <c r="D230" t="s">
        <v>83</v>
      </c>
      <c r="E230" s="20">
        <v>0.29099999999999998</v>
      </c>
    </row>
    <row r="231" spans="1:5" x14ac:dyDescent="0.25">
      <c r="A231" s="1">
        <v>2005721</v>
      </c>
      <c r="B231" s="2" t="s">
        <v>81</v>
      </c>
      <c r="C231" s="3">
        <v>301053</v>
      </c>
      <c r="D231" t="s">
        <v>23</v>
      </c>
      <c r="E231" s="20">
        <v>2.2000000000000002</v>
      </c>
    </row>
    <row r="232" spans="1:5" x14ac:dyDescent="0.25">
      <c r="A232" s="1">
        <v>2005721</v>
      </c>
      <c r="B232" s="2" t="s">
        <v>81</v>
      </c>
      <c r="C232" s="6">
        <v>401312</v>
      </c>
      <c r="D232" t="s">
        <v>60</v>
      </c>
      <c r="E232" s="20">
        <v>1</v>
      </c>
    </row>
    <row r="233" spans="1:5" x14ac:dyDescent="0.25">
      <c r="A233" s="1">
        <v>2005721</v>
      </c>
      <c r="B233" s="2" t="s">
        <v>81</v>
      </c>
      <c r="C233" s="6">
        <v>401320</v>
      </c>
      <c r="D233" t="s">
        <v>70</v>
      </c>
      <c r="E233" s="20">
        <v>1</v>
      </c>
    </row>
    <row r="234" spans="1:5" x14ac:dyDescent="0.25">
      <c r="A234" s="1">
        <v>2005721</v>
      </c>
      <c r="B234" s="2" t="s">
        <v>81</v>
      </c>
      <c r="C234" s="3">
        <v>811897</v>
      </c>
      <c r="D234" t="s">
        <v>2</v>
      </c>
      <c r="E234" s="20">
        <v>1</v>
      </c>
    </row>
    <row r="235" spans="1:5" x14ac:dyDescent="0.25">
      <c r="A235" s="1">
        <v>2005721</v>
      </c>
      <c r="B235" s="2" t="s">
        <v>81</v>
      </c>
      <c r="C235" s="3">
        <v>811919</v>
      </c>
      <c r="D235" t="s">
        <v>7</v>
      </c>
      <c r="E235" s="20">
        <v>2</v>
      </c>
    </row>
    <row r="236" spans="1:5" x14ac:dyDescent="0.25">
      <c r="A236" s="1">
        <v>2005721</v>
      </c>
      <c r="B236" s="2" t="s">
        <v>81</v>
      </c>
      <c r="C236" s="3">
        <v>811920</v>
      </c>
      <c r="D236" t="s">
        <v>8</v>
      </c>
      <c r="E236" s="20">
        <v>1</v>
      </c>
    </row>
    <row r="237" spans="1:5" x14ac:dyDescent="0.25">
      <c r="A237" s="1">
        <v>2005721</v>
      </c>
      <c r="B237" s="2" t="s">
        <v>81</v>
      </c>
      <c r="C237" s="23">
        <v>807222</v>
      </c>
      <c r="D237" s="24" t="s">
        <v>103</v>
      </c>
      <c r="E237" s="20">
        <v>2</v>
      </c>
    </row>
    <row r="238" spans="1:5" x14ac:dyDescent="0.25">
      <c r="A238" s="1">
        <v>2005721</v>
      </c>
      <c r="B238" s="2" t="s">
        <v>81</v>
      </c>
      <c r="C238" s="3">
        <v>998926</v>
      </c>
      <c r="D238" t="s">
        <v>0</v>
      </c>
      <c r="E238" s="20">
        <v>1</v>
      </c>
    </row>
    <row r="239" spans="1:5" x14ac:dyDescent="0.25">
      <c r="A239" s="6">
        <v>2005721</v>
      </c>
      <c r="B239" t="s">
        <v>81</v>
      </c>
      <c r="C239" s="6">
        <v>401293</v>
      </c>
      <c r="D239" t="s">
        <v>88</v>
      </c>
      <c r="E239" s="20">
        <v>2</v>
      </c>
    </row>
    <row r="240" spans="1:5" x14ac:dyDescent="0.25">
      <c r="A240" s="1">
        <v>2005726</v>
      </c>
      <c r="B240" s="2" t="s">
        <v>82</v>
      </c>
      <c r="C240" s="3">
        <v>201147</v>
      </c>
      <c r="D240" t="s">
        <v>83</v>
      </c>
      <c r="E240" s="20">
        <v>0.29099999999999998</v>
      </c>
    </row>
    <row r="241" spans="1:5" x14ac:dyDescent="0.25">
      <c r="A241" s="1">
        <v>2005726</v>
      </c>
      <c r="B241" s="2" t="s">
        <v>82</v>
      </c>
      <c r="C241" s="3">
        <v>301053</v>
      </c>
      <c r="D241" t="s">
        <v>23</v>
      </c>
      <c r="E241" s="20">
        <v>2.2000000000000002</v>
      </c>
    </row>
    <row r="242" spans="1:5" x14ac:dyDescent="0.25">
      <c r="A242" s="1">
        <v>2005726</v>
      </c>
      <c r="B242" s="2" t="s">
        <v>82</v>
      </c>
      <c r="C242" s="6">
        <v>401304</v>
      </c>
      <c r="D242" t="s">
        <v>50</v>
      </c>
      <c r="E242" s="20">
        <v>1</v>
      </c>
    </row>
    <row r="243" spans="1:5" x14ac:dyDescent="0.25">
      <c r="A243" s="1">
        <v>2005726</v>
      </c>
      <c r="B243" s="2" t="s">
        <v>82</v>
      </c>
      <c r="C243" s="3">
        <v>811897</v>
      </c>
      <c r="D243" t="s">
        <v>2</v>
      </c>
      <c r="E243" s="20">
        <v>1</v>
      </c>
    </row>
    <row r="244" spans="1:5" x14ac:dyDescent="0.25">
      <c r="A244" s="1">
        <v>2005726</v>
      </c>
      <c r="B244" s="2" t="s">
        <v>82</v>
      </c>
      <c r="C244" s="3">
        <v>811919</v>
      </c>
      <c r="D244" t="s">
        <v>7</v>
      </c>
      <c r="E244" s="20">
        <v>2</v>
      </c>
    </row>
    <row r="245" spans="1:5" x14ac:dyDescent="0.25">
      <c r="A245" s="1">
        <v>2005726</v>
      </c>
      <c r="B245" s="2" t="s">
        <v>82</v>
      </c>
      <c r="C245" s="3">
        <v>401320</v>
      </c>
      <c r="D245" t="s">
        <v>70</v>
      </c>
      <c r="E245" s="20">
        <v>1</v>
      </c>
    </row>
    <row r="246" spans="1:5" x14ac:dyDescent="0.25">
      <c r="A246" s="1">
        <v>2005726</v>
      </c>
      <c r="B246" s="2" t="s">
        <v>82</v>
      </c>
      <c r="C246" s="3">
        <v>811920</v>
      </c>
      <c r="D246" t="s">
        <v>8</v>
      </c>
      <c r="E246" s="20">
        <v>1</v>
      </c>
    </row>
    <row r="247" spans="1:5" x14ac:dyDescent="0.25">
      <c r="A247" s="1">
        <v>2005726</v>
      </c>
      <c r="B247" s="2" t="s">
        <v>82</v>
      </c>
      <c r="C247" s="23">
        <v>807222</v>
      </c>
      <c r="D247" s="24" t="s">
        <v>103</v>
      </c>
      <c r="E247" s="20">
        <v>2</v>
      </c>
    </row>
    <row r="248" spans="1:5" x14ac:dyDescent="0.25">
      <c r="A248" s="1">
        <v>2005726</v>
      </c>
      <c r="B248" s="2" t="s">
        <v>82</v>
      </c>
      <c r="C248" s="3">
        <v>998926</v>
      </c>
      <c r="D248" t="s">
        <v>0</v>
      </c>
      <c r="E248" s="20">
        <v>1</v>
      </c>
    </row>
    <row r="249" spans="1:5" x14ac:dyDescent="0.25">
      <c r="A249" s="6">
        <v>2005726</v>
      </c>
      <c r="B249" t="s">
        <v>82</v>
      </c>
      <c r="C249" s="6">
        <v>401297</v>
      </c>
      <c r="D249" t="s">
        <v>92</v>
      </c>
      <c r="E249" s="20">
        <v>2</v>
      </c>
    </row>
    <row r="250" spans="1:5" x14ac:dyDescent="0.25">
      <c r="A250" s="1">
        <v>2005732</v>
      </c>
      <c r="B250" s="2" t="s">
        <v>104</v>
      </c>
      <c r="C250" s="23">
        <v>807220</v>
      </c>
      <c r="D250" s="24" t="s">
        <v>102</v>
      </c>
      <c r="E250" s="20">
        <v>2</v>
      </c>
    </row>
    <row r="251" spans="1:5" x14ac:dyDescent="0.25">
      <c r="A251" s="1">
        <v>2005733</v>
      </c>
      <c r="B251" s="2" t="s">
        <v>105</v>
      </c>
      <c r="C251" s="23">
        <v>807222</v>
      </c>
      <c r="D251" s="24" t="s">
        <v>103</v>
      </c>
      <c r="E251" s="20">
        <v>2</v>
      </c>
    </row>
    <row r="252" spans="1:5" x14ac:dyDescent="0.25">
      <c r="A252" s="4">
        <v>807220</v>
      </c>
      <c r="B252" s="5" t="s">
        <v>103</v>
      </c>
      <c r="C252" s="3">
        <v>510028</v>
      </c>
      <c r="D252" t="s">
        <v>107</v>
      </c>
      <c r="E252" s="20">
        <v>0.21460000000000001</v>
      </c>
    </row>
    <row r="253" spans="1:5" x14ac:dyDescent="0.25">
      <c r="A253" s="4">
        <v>807222</v>
      </c>
      <c r="B253" s="5" t="s">
        <v>102</v>
      </c>
      <c r="C253" s="3">
        <v>510019</v>
      </c>
      <c r="D253" t="s">
        <v>106</v>
      </c>
      <c r="E253" s="20">
        <v>0.21460000000000001</v>
      </c>
    </row>
    <row r="254" spans="1:5" x14ac:dyDescent="0.25">
      <c r="A254" s="6">
        <v>807220</v>
      </c>
      <c r="B254" t="s">
        <v>102</v>
      </c>
      <c r="C254" s="6">
        <v>510019</v>
      </c>
      <c r="D254" t="s">
        <v>106</v>
      </c>
      <c r="E254" s="21">
        <v>0.21460000000000001</v>
      </c>
    </row>
    <row r="255" spans="1:5" x14ac:dyDescent="0.25">
      <c r="A255" s="6">
        <v>807222</v>
      </c>
      <c r="B255" t="s">
        <v>103</v>
      </c>
      <c r="C255" s="6">
        <v>510028</v>
      </c>
      <c r="D255" t="s">
        <v>107</v>
      </c>
      <c r="E255" s="21">
        <v>0.21460000000000001</v>
      </c>
    </row>
  </sheetData>
  <autoFilter ref="A1:E255" xr:uid="{00000000-0001-0000-0000-000000000000}"/>
  <sortState xmlns:xlrd2="http://schemas.microsoft.com/office/spreadsheetml/2017/richdata2" ref="A5:E119">
    <sortCondition ref="A1:A11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33AB-9D58-46B5-90F6-8BC7C5ACCE5D}">
  <dimension ref="B1:I21"/>
  <sheetViews>
    <sheetView workbookViewId="0">
      <selection activeCell="H4" sqref="H4"/>
    </sheetView>
  </sheetViews>
  <sheetFormatPr defaultRowHeight="15" x14ac:dyDescent="0.25"/>
  <cols>
    <col min="2" max="2" width="15.28515625" bestFit="1" customWidth="1"/>
    <col min="5" max="5" width="8" bestFit="1" customWidth="1"/>
    <col min="6" max="6" width="80.85546875" bestFit="1" customWidth="1"/>
    <col min="7" max="7" width="7" bestFit="1" customWidth="1"/>
    <col min="8" max="8" width="94.140625" bestFit="1" customWidth="1"/>
    <col min="9" max="9" width="17.7109375" bestFit="1" customWidth="1"/>
  </cols>
  <sheetData>
    <row r="1" spans="2:9" x14ac:dyDescent="0.25">
      <c r="E1" s="8">
        <v>2005710</v>
      </c>
      <c r="F1" s="9" t="s">
        <v>18</v>
      </c>
      <c r="G1" s="10">
        <v>998926</v>
      </c>
      <c r="H1" s="11" t="s">
        <v>0</v>
      </c>
      <c r="I1" s="12">
        <v>1</v>
      </c>
    </row>
    <row r="2" spans="2:9" x14ac:dyDescent="0.25">
      <c r="E2" s="13">
        <v>2005710</v>
      </c>
      <c r="F2" s="2" t="s">
        <v>18</v>
      </c>
      <c r="G2" s="19">
        <v>401315</v>
      </c>
      <c r="H2" t="s">
        <v>64</v>
      </c>
      <c r="I2" s="14">
        <v>1</v>
      </c>
    </row>
    <row r="3" spans="2:9" x14ac:dyDescent="0.25">
      <c r="E3" s="13">
        <v>2005710</v>
      </c>
      <c r="F3" s="2" t="s">
        <v>18</v>
      </c>
      <c r="G3" s="6">
        <v>401323</v>
      </c>
      <c r="H3" t="s">
        <v>74</v>
      </c>
      <c r="I3" s="14">
        <v>1</v>
      </c>
    </row>
    <row r="4" spans="2:9" x14ac:dyDescent="0.25">
      <c r="E4" s="13">
        <v>2005710</v>
      </c>
      <c r="F4" s="2" t="s">
        <v>18</v>
      </c>
      <c r="G4" s="3">
        <v>201136</v>
      </c>
      <c r="H4" t="s">
        <v>28</v>
      </c>
      <c r="I4" s="14">
        <v>0.81</v>
      </c>
    </row>
    <row r="5" spans="2:9" x14ac:dyDescent="0.25">
      <c r="E5" s="13">
        <v>2005710</v>
      </c>
      <c r="F5" s="2" t="s">
        <v>18</v>
      </c>
      <c r="G5" s="3">
        <v>301053</v>
      </c>
      <c r="H5" t="s">
        <v>23</v>
      </c>
      <c r="I5" s="14">
        <v>6</v>
      </c>
    </row>
    <row r="6" spans="2:9" x14ac:dyDescent="0.25">
      <c r="E6" s="13">
        <v>2005710</v>
      </c>
      <c r="F6" s="2" t="s">
        <v>18</v>
      </c>
      <c r="G6" s="3">
        <v>807222</v>
      </c>
      <c r="H6" t="s">
        <v>4</v>
      </c>
      <c r="I6" s="14">
        <v>6</v>
      </c>
    </row>
    <row r="7" spans="2:9" x14ac:dyDescent="0.25">
      <c r="E7" s="13">
        <v>2005710</v>
      </c>
      <c r="F7" s="2" t="s">
        <v>18</v>
      </c>
      <c r="G7" s="3">
        <v>807221</v>
      </c>
      <c r="H7" t="s">
        <v>3</v>
      </c>
      <c r="I7" s="14">
        <v>6</v>
      </c>
    </row>
    <row r="8" spans="2:9" x14ac:dyDescent="0.25">
      <c r="E8" s="13">
        <v>2005710</v>
      </c>
      <c r="F8" s="2" t="s">
        <v>18</v>
      </c>
      <c r="G8" s="3">
        <v>811897</v>
      </c>
      <c r="H8" t="s">
        <v>2</v>
      </c>
      <c r="I8" s="14">
        <v>1</v>
      </c>
    </row>
    <row r="9" spans="2:9" x14ac:dyDescent="0.25">
      <c r="C9" s="6">
        <f>39/49</f>
        <v>0.79591836734693877</v>
      </c>
      <c r="E9" s="13">
        <v>2005710</v>
      </c>
      <c r="F9" s="2" t="s">
        <v>18</v>
      </c>
      <c r="G9" s="3">
        <v>811919</v>
      </c>
      <c r="H9" t="s">
        <v>7</v>
      </c>
      <c r="I9" s="14">
        <v>2</v>
      </c>
    </row>
    <row r="10" spans="2:9" x14ac:dyDescent="0.25">
      <c r="B10" s="7" t="s">
        <v>49</v>
      </c>
      <c r="C10" s="6">
        <f>+C9*60</f>
        <v>47.755102040816325</v>
      </c>
      <c r="E10" s="13">
        <v>2005710</v>
      </c>
      <c r="F10" s="2" t="s">
        <v>18</v>
      </c>
      <c r="G10" s="3">
        <v>811920</v>
      </c>
      <c r="H10" t="s">
        <v>8</v>
      </c>
      <c r="I10" s="14">
        <v>6</v>
      </c>
    </row>
    <row r="11" spans="2:9" ht="15.75" thickBot="1" x14ac:dyDescent="0.3">
      <c r="C11" s="6">
        <f>+C10/0.85</f>
        <v>56.182472989195681</v>
      </c>
      <c r="E11" s="15">
        <v>2005710</v>
      </c>
      <c r="F11" s="16" t="s">
        <v>18</v>
      </c>
      <c r="G11" s="18">
        <v>401296</v>
      </c>
      <c r="H11" s="16" t="s">
        <v>42</v>
      </c>
      <c r="I11" s="17">
        <v>1</v>
      </c>
    </row>
    <row r="12" spans="2:9" x14ac:dyDescent="0.25">
      <c r="C12" s="6"/>
      <c r="E12" s="8">
        <v>2005711</v>
      </c>
      <c r="F12" s="9" t="s">
        <v>19</v>
      </c>
      <c r="G12" s="10">
        <v>201147</v>
      </c>
      <c r="H12" s="11" t="s">
        <v>24</v>
      </c>
      <c r="I12" s="12">
        <v>0.29099999999999998</v>
      </c>
    </row>
    <row r="13" spans="2:9" x14ac:dyDescent="0.25">
      <c r="C13" s="6">
        <f>3600/C11</f>
        <v>64.07692307692308</v>
      </c>
      <c r="E13" s="13">
        <v>2005711</v>
      </c>
      <c r="F13" s="2" t="s">
        <v>19</v>
      </c>
      <c r="G13" s="3">
        <v>301053</v>
      </c>
      <c r="H13" t="s">
        <v>23</v>
      </c>
      <c r="I13" s="14">
        <v>2.2000000000000002</v>
      </c>
    </row>
    <row r="14" spans="2:9" x14ac:dyDescent="0.25">
      <c r="C14" s="6"/>
      <c r="E14" s="13">
        <v>2005711</v>
      </c>
      <c r="F14" s="2" t="s">
        <v>19</v>
      </c>
      <c r="G14" s="19">
        <v>401304</v>
      </c>
      <c r="H14" t="s">
        <v>50</v>
      </c>
      <c r="I14" s="14">
        <v>1</v>
      </c>
    </row>
    <row r="15" spans="2:9" x14ac:dyDescent="0.25">
      <c r="C15" s="6">
        <v>13000</v>
      </c>
      <c r="E15" s="13">
        <v>2005711</v>
      </c>
      <c r="F15" s="2" t="s">
        <v>19</v>
      </c>
      <c r="G15" s="3">
        <v>811897</v>
      </c>
      <c r="H15" t="s">
        <v>2</v>
      </c>
      <c r="I15" s="14">
        <v>1</v>
      </c>
    </row>
    <row r="16" spans="2:9" x14ac:dyDescent="0.25">
      <c r="C16" s="6"/>
      <c r="E16" s="13">
        <v>2005711</v>
      </c>
      <c r="F16" s="2" t="s">
        <v>19</v>
      </c>
      <c r="G16" s="3">
        <v>811919</v>
      </c>
      <c r="H16" t="s">
        <v>7</v>
      </c>
      <c r="I16" s="14">
        <v>2</v>
      </c>
    </row>
    <row r="17" spans="3:9" x14ac:dyDescent="0.25">
      <c r="C17" s="6">
        <f>+C15/C13</f>
        <v>202.8811524609844</v>
      </c>
      <c r="E17" s="13">
        <v>2005711</v>
      </c>
      <c r="F17" s="2" t="s">
        <v>19</v>
      </c>
      <c r="G17" s="3">
        <v>811920</v>
      </c>
      <c r="H17" t="s">
        <v>8</v>
      </c>
      <c r="I17" s="14">
        <v>1</v>
      </c>
    </row>
    <row r="18" spans="3:9" x14ac:dyDescent="0.25">
      <c r="E18" s="13">
        <v>2005711</v>
      </c>
      <c r="F18" s="2" t="s">
        <v>19</v>
      </c>
      <c r="G18" s="3">
        <v>807222</v>
      </c>
      <c r="H18" t="s">
        <v>4</v>
      </c>
      <c r="I18" s="14">
        <v>2</v>
      </c>
    </row>
    <row r="19" spans="3:9" x14ac:dyDescent="0.25">
      <c r="E19" s="13">
        <v>2005711</v>
      </c>
      <c r="F19" s="2" t="s">
        <v>19</v>
      </c>
      <c r="G19" s="3">
        <v>807221</v>
      </c>
      <c r="H19" t="s">
        <v>3</v>
      </c>
      <c r="I19" s="14">
        <v>2</v>
      </c>
    </row>
    <row r="20" spans="3:9" x14ac:dyDescent="0.25">
      <c r="E20" s="13">
        <v>2005711</v>
      </c>
      <c r="F20" s="2" t="s">
        <v>19</v>
      </c>
      <c r="G20" s="3">
        <v>998926</v>
      </c>
      <c r="H20" t="s">
        <v>0</v>
      </c>
      <c r="I20" s="14">
        <v>1</v>
      </c>
    </row>
    <row r="21" spans="3:9" ht="15.75" thickBot="1" x14ac:dyDescent="0.3">
      <c r="E21" s="15">
        <v>2005711</v>
      </c>
      <c r="F21" s="16" t="s">
        <v>19</v>
      </c>
      <c r="G21" s="18">
        <v>401297</v>
      </c>
      <c r="H21" s="16" t="s">
        <v>43</v>
      </c>
      <c r="I21" s="17">
        <v>1</v>
      </c>
    </row>
  </sheetData>
  <conditionalFormatting sqref="G1:G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2025-05-19T13:09:19Z</dcterms:created>
  <dcterms:modified xsi:type="dcterms:W3CDTF">2026-06-18T16:59:25Z</dcterms:modified>
</cp:coreProperties>
</file>